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\Downloads\Project 1\fpa_intelligence_dashboard\outputs\"/>
    </mc:Choice>
  </mc:AlternateContent>
  <xr:revisionPtr revIDLastSave="0" documentId="13_ncr:1_{8847C4EA-4588-4591-A27B-B4FA1F2326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come Statements" sheetId="1" r:id="rId1"/>
    <sheet name="Variance Analysis" sheetId="2" r:id="rId2"/>
    <sheet name="Peer Benchmarking" sheetId="3" r:id="rId3"/>
    <sheet name="Scenario Analysis" sheetId="4" r:id="rId4"/>
    <sheet name="Commentary" sheetId="5" r:id="rId5"/>
    <sheet name="Budget vs Actual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5" i="4" l="1"/>
  <c r="D105" i="4"/>
  <c r="C105" i="4"/>
  <c r="E103" i="4"/>
  <c r="D103" i="4"/>
  <c r="C103" i="4"/>
  <c r="D102" i="4"/>
  <c r="D107" i="4" s="1"/>
  <c r="C102" i="4"/>
  <c r="C107" i="4" s="1"/>
  <c r="E101" i="4"/>
  <c r="E102" i="4" s="1"/>
  <c r="D101" i="4"/>
  <c r="C101" i="4"/>
  <c r="E86" i="4"/>
  <c r="E84" i="4"/>
  <c r="D84" i="4"/>
  <c r="C84" i="4"/>
  <c r="E82" i="4"/>
  <c r="D82" i="4"/>
  <c r="C82" i="4"/>
  <c r="E81" i="4"/>
  <c r="E85" i="4" s="1"/>
  <c r="D81" i="4"/>
  <c r="D86" i="4" s="1"/>
  <c r="E80" i="4"/>
  <c r="D80" i="4"/>
  <c r="C80" i="4"/>
  <c r="C81" i="4" s="1"/>
  <c r="E63" i="4"/>
  <c r="D63" i="4"/>
  <c r="C63" i="4"/>
  <c r="C62" i="4"/>
  <c r="E61" i="4"/>
  <c r="D61" i="4"/>
  <c r="C61" i="4"/>
  <c r="E60" i="4"/>
  <c r="E65" i="4" s="1"/>
  <c r="C60" i="4"/>
  <c r="C65" i="4" s="1"/>
  <c r="E59" i="4"/>
  <c r="D59" i="4"/>
  <c r="D60" i="4" s="1"/>
  <c r="C59" i="4"/>
  <c r="E42" i="4"/>
  <c r="D42" i="4"/>
  <c r="C42" i="4"/>
  <c r="E40" i="4"/>
  <c r="D40" i="4"/>
  <c r="C40" i="4"/>
  <c r="E38" i="4"/>
  <c r="E39" i="4" s="1"/>
  <c r="D38" i="4"/>
  <c r="D39" i="4" s="1"/>
  <c r="C38" i="4"/>
  <c r="C39" i="4" s="1"/>
  <c r="D23" i="4"/>
  <c r="E21" i="4"/>
  <c r="D21" i="4"/>
  <c r="C21" i="4"/>
  <c r="E20" i="4"/>
  <c r="E19" i="4"/>
  <c r="D19" i="4"/>
  <c r="C19" i="4"/>
  <c r="E18" i="4"/>
  <c r="E23" i="4" s="1"/>
  <c r="D18" i="4"/>
  <c r="D22" i="4" s="1"/>
  <c r="C18" i="4"/>
  <c r="C23" i="4" s="1"/>
  <c r="E17" i="4"/>
  <c r="D17" i="4"/>
  <c r="C17" i="4"/>
  <c r="L9" i="3"/>
  <c r="K9" i="3"/>
  <c r="J9" i="3"/>
  <c r="L8" i="3"/>
  <c r="K8" i="3"/>
  <c r="J8" i="3"/>
  <c r="L7" i="3"/>
  <c r="K7" i="3"/>
  <c r="J7" i="3"/>
  <c r="L6" i="3"/>
  <c r="K6" i="3"/>
  <c r="J6" i="3"/>
  <c r="L5" i="3"/>
  <c r="K5" i="3"/>
  <c r="J5" i="3"/>
  <c r="E33" i="2"/>
  <c r="F33" i="2" s="1"/>
  <c r="F32" i="2"/>
  <c r="E32" i="2"/>
  <c r="E31" i="2"/>
  <c r="F31" i="2" s="1"/>
  <c r="F30" i="2"/>
  <c r="E30" i="2"/>
  <c r="E27" i="2"/>
  <c r="F27" i="2" s="1"/>
  <c r="F26" i="2"/>
  <c r="E26" i="2"/>
  <c r="E25" i="2"/>
  <c r="F25" i="2" s="1"/>
  <c r="F24" i="2"/>
  <c r="E24" i="2"/>
  <c r="E21" i="2"/>
  <c r="F21" i="2" s="1"/>
  <c r="F20" i="2"/>
  <c r="E20" i="2"/>
  <c r="E19" i="2"/>
  <c r="F19" i="2" s="1"/>
  <c r="F18" i="2"/>
  <c r="E18" i="2"/>
  <c r="E15" i="2"/>
  <c r="F15" i="2" s="1"/>
  <c r="F14" i="2"/>
  <c r="E14" i="2"/>
  <c r="E13" i="2"/>
  <c r="F13" i="2" s="1"/>
  <c r="F12" i="2"/>
  <c r="E12" i="2"/>
  <c r="E9" i="2"/>
  <c r="F9" i="2" s="1"/>
  <c r="F8" i="2"/>
  <c r="E8" i="2"/>
  <c r="E7" i="2"/>
  <c r="F7" i="2" s="1"/>
  <c r="F6" i="2"/>
  <c r="E6" i="2"/>
  <c r="I33" i="1"/>
  <c r="H33" i="1"/>
  <c r="G33" i="1"/>
  <c r="I32" i="1"/>
  <c r="H32" i="1"/>
  <c r="G32" i="1"/>
  <c r="I31" i="1"/>
  <c r="H31" i="1"/>
  <c r="G31" i="1"/>
  <c r="I30" i="1"/>
  <c r="H30" i="1"/>
  <c r="G30" i="1"/>
  <c r="I27" i="1"/>
  <c r="H27" i="1"/>
  <c r="G27" i="1"/>
  <c r="I26" i="1"/>
  <c r="H26" i="1"/>
  <c r="G26" i="1"/>
  <c r="I25" i="1"/>
  <c r="H25" i="1"/>
  <c r="G25" i="1"/>
  <c r="I24" i="1"/>
  <c r="H24" i="1"/>
  <c r="G24" i="1"/>
  <c r="I21" i="1"/>
  <c r="H21" i="1"/>
  <c r="G21" i="1"/>
  <c r="I20" i="1"/>
  <c r="H20" i="1"/>
  <c r="G20" i="1"/>
  <c r="I19" i="1"/>
  <c r="H19" i="1"/>
  <c r="G19" i="1"/>
  <c r="I18" i="1"/>
  <c r="H18" i="1"/>
  <c r="G18" i="1"/>
  <c r="I15" i="1"/>
  <c r="H15" i="1"/>
  <c r="G15" i="1"/>
  <c r="I14" i="1"/>
  <c r="H14" i="1"/>
  <c r="G14" i="1"/>
  <c r="I13" i="1"/>
  <c r="H13" i="1"/>
  <c r="G13" i="1"/>
  <c r="I12" i="1"/>
  <c r="H12" i="1"/>
  <c r="G12" i="1"/>
  <c r="I9" i="1"/>
  <c r="H9" i="1"/>
  <c r="G9" i="1"/>
  <c r="I8" i="1"/>
  <c r="H8" i="1"/>
  <c r="G8" i="1"/>
  <c r="I7" i="1"/>
  <c r="H7" i="1"/>
  <c r="G7" i="1"/>
  <c r="I6" i="1"/>
  <c r="H6" i="1"/>
  <c r="G6" i="1"/>
  <c r="C83" i="4" l="1"/>
  <c r="C85" i="4"/>
  <c r="C86" i="4"/>
  <c r="C41" i="4"/>
  <c r="C43" i="4"/>
  <c r="C44" i="4"/>
  <c r="D44" i="4"/>
  <c r="D43" i="4"/>
  <c r="D41" i="4"/>
  <c r="E41" i="4"/>
  <c r="E43" i="4"/>
  <c r="E44" i="4"/>
  <c r="D65" i="4"/>
  <c r="D62" i="4"/>
  <c r="D64" i="4"/>
  <c r="E107" i="4"/>
  <c r="E106" i="4"/>
  <c r="E104" i="4"/>
  <c r="C20" i="4"/>
  <c r="E22" i="4"/>
  <c r="C64" i="4"/>
  <c r="D83" i="4"/>
  <c r="C22" i="4"/>
  <c r="D85" i="4"/>
  <c r="D20" i="4"/>
  <c r="E83" i="4"/>
  <c r="C106" i="4"/>
  <c r="E64" i="4"/>
  <c r="D106" i="4"/>
  <c r="E62" i="4"/>
  <c r="C104" i="4"/>
  <c r="D104" i="4"/>
</calcChain>
</file>

<file path=xl/sharedStrings.xml><?xml version="1.0" encoding="utf-8"?>
<sst xmlns="http://schemas.openxmlformats.org/spreadsheetml/2006/main" count="352" uniqueCount="144">
  <si>
    <t>INCOME STATEMENTS — MULTI-COMPANY COMPARISON</t>
  </si>
  <si>
    <t>Annual financials  |  Values in $B  |  Blue = Hardcoded Input  |  Black = Excel Formula</t>
  </si>
  <si>
    <t>Year</t>
  </si>
  <si>
    <t>Revenue ($B)</t>
  </si>
  <si>
    <t>Gross Profit ($B)</t>
  </si>
  <si>
    <t>Op. Income ($B)</t>
  </si>
  <si>
    <t>Net Income ($B)</t>
  </si>
  <si>
    <t>Gross Margin</t>
  </si>
  <si>
    <t>Op. Margin</t>
  </si>
  <si>
    <t>Net Margin</t>
  </si>
  <si>
    <t>MICROSOFT  (MSFT)  —  Technology</t>
  </si>
  <si>
    <t>2025</t>
  </si>
  <si>
    <t>2024</t>
  </si>
  <si>
    <t>2023</t>
  </si>
  <si>
    <t>2022</t>
  </si>
  <si>
    <t>NEXTERA ENERGY  (NEE)  —  Energy / Utilities</t>
  </si>
  <si>
    <t>PROLOGIS  (PLD)  —  Real Estate (REIT)</t>
  </si>
  <si>
    <t>JOHNSON &amp; JOHNSON  (JNJ)  —  Healthcare</t>
  </si>
  <si>
    <t>COSTCO  (COST)  —  Consumer Staples</t>
  </si>
  <si>
    <t>Colour key:  Blue font = Hardcoded input  |  Black font = Excel formula (calculated)</t>
  </si>
  <si>
    <t>Company</t>
  </si>
  <si>
    <t>Microsoft</t>
  </si>
  <si>
    <t>NextEra Energy</t>
  </si>
  <si>
    <t>Prologis</t>
  </si>
  <si>
    <t>Johnson &amp; Johnson</t>
  </si>
  <si>
    <t>Costco</t>
  </si>
  <si>
    <t>VARIANCE ANALYSIS — YEAR-OVER-YEAR PERFORMANCE</t>
  </si>
  <si>
    <t>Latest vs prior fiscal year  |  Values in $B  |  Blue = Input  |  Black = Formula</t>
  </si>
  <si>
    <t>Metric</t>
  </si>
  <si>
    <t>Current Year ($B)</t>
  </si>
  <si>
    <t>Prior Year ($B)</t>
  </si>
  <si>
    <t>Change ($B)</t>
  </si>
  <si>
    <t>Change (%)</t>
  </si>
  <si>
    <t>MICROSOFT  (MSFT)  —  Technology  |  FY2025 vs FY2024</t>
  </si>
  <si>
    <t>Total Revenue</t>
  </si>
  <si>
    <t>Gross Profit</t>
  </si>
  <si>
    <t>Operating Income</t>
  </si>
  <si>
    <t>Net Income</t>
  </si>
  <si>
    <t>NEXTERA ENERGY  (NEE)  —  Energy / Utilities  |  FY2025 vs FY2024</t>
  </si>
  <si>
    <t>PROLOGIS  (PLD)  —  Real Estate (REIT)  |  FY2025 vs FY2024</t>
  </si>
  <si>
    <t>JOHNSON &amp; JOHNSON  (JNJ)  —  Healthcare  |  FY2025 vs FY2024</t>
  </si>
  <si>
    <t>COSTCO  (COST)  —  Consumer Staples  |  FY2025 vs FY2024</t>
  </si>
  <si>
    <t>Revenue YoY Change (%)</t>
  </si>
  <si>
    <t>PEER BENCHMARKING — CROSS-COMPANY ANALYSIS</t>
  </si>
  <si>
    <t>Latest fiscal year  |  Values in $B  |  Blue = Input  |  Black = Formula</t>
  </si>
  <si>
    <t>Ticker</t>
  </si>
  <si>
    <t>Sector</t>
  </si>
  <si>
    <t>Rev Growth</t>
  </si>
  <si>
    <t>MSFT</t>
  </si>
  <si>
    <t>Technology</t>
  </si>
  <si>
    <t>FY2025</t>
  </si>
  <si>
    <t>NEE</t>
  </si>
  <si>
    <t>Energy / Utilities</t>
  </si>
  <si>
    <t>PLD</t>
  </si>
  <si>
    <t>Real Estate (REIT)</t>
  </si>
  <si>
    <t>JNJ</t>
  </si>
  <si>
    <t>Healthcare</t>
  </si>
  <si>
    <t>COST</t>
  </si>
  <si>
    <t>Consumer Staples</t>
  </si>
  <si>
    <t>SCENARIO ANALYSIS — FORWARD-LOOKING PROJECTIONS</t>
  </si>
  <si>
    <t>Base trailing growth ± scenario delta  |  Values in $B  |  Blue = Input  |  Black = Excel Formula</t>
  </si>
  <si>
    <t>Metric / Assumption</t>
  </si>
  <si>
    <t>Upside</t>
  </si>
  <si>
    <t>Base</t>
  </si>
  <si>
    <t>Downside</t>
  </si>
  <si>
    <t xml:space="preserve">  ACTUAL (BASE PERIOD)</t>
  </si>
  <si>
    <t>Actual Revenue ($B)</t>
  </si>
  <si>
    <t>Actual Gross Margin %</t>
  </si>
  <si>
    <t>Actual Op. Margin %</t>
  </si>
  <si>
    <t>Actual Net Margin %</t>
  </si>
  <si>
    <t>Trailing Revenue Growth %</t>
  </si>
  <si>
    <t xml:space="preserve">  SCENARIO ASSUMPTIONS</t>
  </si>
  <si>
    <t>Revenue Growth Adjustment</t>
  </si>
  <si>
    <t>Gross Margin Adjustment</t>
  </si>
  <si>
    <t>Op. Margin Adjustment</t>
  </si>
  <si>
    <t xml:space="preserve">  FORECAST (NEXT FISCAL YEAR)</t>
  </si>
  <si>
    <t>Forecast Revenue Growth %</t>
  </si>
  <si>
    <t>Forecast Revenue ($B)</t>
  </si>
  <si>
    <t>Forecast Gross Margin %</t>
  </si>
  <si>
    <t>Forecast Gross Profit ($B)</t>
  </si>
  <si>
    <t>Forecast Op. Margin %</t>
  </si>
  <si>
    <t>Forecast Op. Income ($B)</t>
  </si>
  <si>
    <t>Forecast Net Income ($B)</t>
  </si>
  <si>
    <t>Upside ($B)</t>
  </si>
  <si>
    <t>Base ($B)</t>
  </si>
  <si>
    <t>Downside ($B)</t>
  </si>
  <si>
    <t>FP&amp;A COMMENTARY — EXECUTIVE NARRATIVE</t>
  </si>
  <si>
    <t>Generated from variance, peer benchmarking, and scenario analysis</t>
  </si>
  <si>
    <t>FP&amp;A Commentary</t>
  </si>
  <si>
    <t>Key variance insights:</t>
  </si>
  <si>
    <t>- MSFT (Microsoft): Operating Income moved 17.4% year-over-year, driven by the latest annual results.</t>
  </si>
  <si>
    <t>- NEE (NextEra Energy): Gross Profit moved 14.8% year-over-year, driven by the latest annual results.</t>
  </si>
  <si>
    <t>- PLD (Prologis): Net Income moved -10.8% year-over-year, driven by the latest annual results.</t>
  </si>
  <si>
    <t>- JNJ (Johnson &amp; Johnson): Net Income moved 90.6% year-over-year, driven by the latest annual results.</t>
  </si>
  <si>
    <t>- COST (Costco): Operating Income moved 11.8% year-over-year, driven by the latest annual results.</t>
  </si>
  <si>
    <t>Peer benchmarking insights:</t>
  </si>
  <si>
    <t>- Highest average profitability: PLD with average margin 50.4%.</t>
  </si>
  <si>
    <t>- Strongest revenue momentum: MSFT with revenue growth 14.9%.</t>
  </si>
  <si>
    <t>Scenario outlook:</t>
  </si>
  <si>
    <t>- Base: combined forecast revenue for all companies is approximately $761.2B, reflecting the scenario assumptions.</t>
  </si>
  <si>
    <t>- Downside: combined forecast revenue for all companies is approximately $726.8B, reflecting the scenario assumptions.</t>
  </si>
  <si>
    <t>- Upside: combined forecast revenue for all companies is approximately $795.5B, reflecting the scenario assumptions.</t>
  </si>
  <si>
    <t>Narrative conclusion:</t>
  </si>
  <si>
    <t>- The portfolio shows a mix of high-margin leaders and growth performers. Maintain focus on margin expansion while stress-testing downside scenarios.</t>
  </si>
  <si>
    <t>BUDGET vs ACTUALS — MICROSOFT FY2025</t>
  </si>
  <si>
    <t>Segment-Level Revenue: Budget vs Reported Actuals  |  Values in $B  |  Source: Microsoft FY2025 Annual Report</t>
  </si>
  <si>
    <t>BUDGET METHODOLOGY</t>
  </si>
  <si>
    <t>Productivity &amp; Business Processes</t>
  </si>
  <si>
    <t>+8% growth assumption</t>
  </si>
  <si>
    <t>Office 365 and LinkedIn consensus at FY25 start</t>
  </si>
  <si>
    <t>Intelligent Cloud</t>
  </si>
  <si>
    <t>+20% growth assumption</t>
  </si>
  <si>
    <t>Azure hyperscaler consensus at FY25 start</t>
  </si>
  <si>
    <t>More Personal Computing</t>
  </si>
  <si>
    <t>+3% growth assumption</t>
  </si>
  <si>
    <t>PC market modest recovery assumption</t>
  </si>
  <si>
    <t>QUARTERLY DETAIL</t>
  </si>
  <si>
    <t>Segment</t>
  </si>
  <si>
    <t>Quarter</t>
  </si>
  <si>
    <t>Budget ($B)</t>
  </si>
  <si>
    <t>Actual ($B)</t>
  </si>
  <si>
    <t>Variance ($B)</t>
  </si>
  <si>
    <t>Variance (%)</t>
  </si>
  <si>
    <t>vs Prior Qtr</t>
  </si>
  <si>
    <t>Status</t>
  </si>
  <si>
    <t>Q1 FY25</t>
  </si>
  <si>
    <t>—</t>
  </si>
  <si>
    <t>ON TRACK</t>
  </si>
  <si>
    <t>Q2 FY25</t>
  </si>
  <si>
    <t>Q3 FY25</t>
  </si>
  <si>
    <t>Q4 FY25</t>
  </si>
  <si>
    <t>MISS</t>
  </si>
  <si>
    <t>WATCH</t>
  </si>
  <si>
    <t>TOTAL MICROSOFT</t>
  </si>
  <si>
    <t>FULL YEAR SEGMENT SUMMARY</t>
  </si>
  <si>
    <t>Growth Assumption</t>
  </si>
  <si>
    <t>FY24 Actual ($B)</t>
  </si>
  <si>
    <t>FY25 Budget ($B)</t>
  </si>
  <si>
    <t>FY25 Actual ($B)</t>
  </si>
  <si>
    <t>Status Guide:   ON TRACK = within +2% of budget     WATCH = -2% to -5%     MISS = more than -5% below budget</t>
  </si>
  <si>
    <t>Budget</t>
  </si>
  <si>
    <t>Actual</t>
  </si>
  <si>
    <t>Productivity</t>
  </si>
  <si>
    <t>More Personal Comp.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</si>
</sst>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\+0.0%;\(0.0%\)"/>
  </numFmts>
  <fonts count="24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C9D7F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sz val="10"/>
      <color rgb="FF0070C0"/>
      <name val="Arial"/>
      <family val="2"/>
    </font>
    <font>
      <i/>
      <sz val="9"/>
      <color rgb="FF595959"/>
      <name val="Arial"/>
      <family val="2"/>
    </font>
    <font>
      <b/>
      <sz val="10"/>
      <color rgb="FF276221"/>
      <name val="Arial"/>
      <family val="2"/>
    </font>
    <font>
      <b/>
      <sz val="10"/>
      <color rgb="FF7D6608"/>
      <name val="Arial"/>
      <family val="2"/>
    </font>
    <font>
      <b/>
      <sz val="10"/>
      <color rgb="FF9C0006"/>
      <name val="Arial"/>
      <family val="2"/>
    </font>
    <font>
      <b/>
      <sz val="9"/>
      <color rgb="FFBF9000"/>
      <name val="Arial"/>
      <family val="2"/>
    </font>
    <font>
      <sz val="10"/>
      <color rgb="FF1F3864"/>
      <name val="Arial"/>
      <family val="2"/>
    </font>
    <font>
      <b/>
      <sz val="10"/>
      <color rgb="FF000000"/>
      <name val="Arial"/>
      <family val="2"/>
    </font>
    <font>
      <b/>
      <sz val="10"/>
      <color rgb="FFBF9000"/>
      <name val="Arial"/>
      <family val="2"/>
    </font>
    <font>
      <sz val="10"/>
      <color rgb="FF2E4057"/>
      <name val="Arial"/>
      <family val="2"/>
    </font>
    <font>
      <sz val="9"/>
      <color rgb="FF595959"/>
      <name val="Arial"/>
      <family val="2"/>
    </font>
    <font>
      <b/>
      <sz val="9"/>
      <color rgb="FF276221"/>
      <name val="Arial"/>
      <family val="2"/>
    </font>
    <font>
      <sz val="10"/>
      <color rgb="FF276221"/>
      <name val="Arial"/>
      <family val="2"/>
    </font>
    <font>
      <b/>
      <sz val="9"/>
      <color rgb="FF9C0006"/>
      <name val="Arial"/>
      <family val="2"/>
    </font>
    <font>
      <b/>
      <sz val="9"/>
      <color rgb="FF7D6608"/>
      <name val="Arial"/>
      <family val="2"/>
    </font>
    <font>
      <sz val="10"/>
      <color rgb="FF9C0006"/>
      <name val="Arial"/>
      <family val="2"/>
    </font>
    <font>
      <sz val="10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D8A"/>
      </patternFill>
    </fill>
    <fill>
      <patternFill patternType="solid">
        <fgColor rgb="FFDAEEF3"/>
      </patternFill>
    </fill>
    <fill>
      <patternFill patternType="solid">
        <fgColor rgb="FFEBF1DE"/>
      </patternFill>
    </fill>
    <fill>
      <patternFill patternType="solid">
        <fgColor rgb="FFFDE9D9"/>
      </patternFill>
    </fill>
    <fill>
      <patternFill patternType="solid">
        <fgColor rgb="FFE8E0F0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5F7FA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0" fillId="2" borderId="0" xfId="0" applyFill="1"/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right" vertical="center"/>
    </xf>
    <xf numFmtId="165" fontId="5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6" fontId="9" fillId="9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6" fontId="10" fillId="10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166" fontId="11" fillId="11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166" fontId="7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66" fontId="7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166" fontId="7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 wrapText="1"/>
    </xf>
    <xf numFmtId="166" fontId="7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 wrapText="1"/>
    </xf>
    <xf numFmtId="166" fontId="7" fillId="8" borderId="1" xfId="0" applyNumberFormat="1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left" vertical="center"/>
    </xf>
    <xf numFmtId="165" fontId="7" fillId="4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164" fontId="14" fillId="4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/>
    </xf>
    <xf numFmtId="165" fontId="7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4" fontId="14" fillId="5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right" vertical="center"/>
    </xf>
    <xf numFmtId="164" fontId="14" fillId="6" borderId="1" xfId="0" applyNumberFormat="1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left" vertical="center"/>
    </xf>
    <xf numFmtId="165" fontId="7" fillId="7" borderId="1" xfId="0" applyNumberFormat="1" applyFont="1" applyFill="1" applyBorder="1" applyAlignment="1">
      <alignment horizontal="right" vertical="center"/>
    </xf>
    <xf numFmtId="166" fontId="5" fillId="7" borderId="1" xfId="0" applyNumberFormat="1" applyFont="1" applyFill="1" applyBorder="1" applyAlignment="1">
      <alignment horizontal="right" vertical="center"/>
    </xf>
    <xf numFmtId="164" fontId="14" fillId="7" borderId="1" xfId="0" applyNumberFormat="1" applyFont="1" applyFill="1" applyBorder="1" applyAlignment="1">
      <alignment horizontal="right" vertical="center"/>
    </xf>
    <xf numFmtId="0" fontId="13" fillId="8" borderId="1" xfId="0" applyFont="1" applyFill="1" applyBorder="1" applyAlignment="1">
      <alignment horizontal="left" vertical="center"/>
    </xf>
    <xf numFmtId="165" fontId="7" fillId="8" borderId="1" xfId="0" applyNumberFormat="1" applyFont="1" applyFill="1" applyBorder="1" applyAlignment="1">
      <alignment horizontal="right" vertical="center"/>
    </xf>
    <xf numFmtId="166" fontId="5" fillId="8" borderId="1" xfId="0" applyNumberFormat="1" applyFont="1" applyFill="1" applyBorder="1" applyAlignment="1">
      <alignment horizontal="right" vertical="center"/>
    </xf>
    <xf numFmtId="164" fontId="14" fillId="8" borderId="1" xfId="0" applyNumberFormat="1" applyFont="1" applyFill="1" applyBorder="1" applyAlignment="1">
      <alignment horizontal="right" vertical="center"/>
    </xf>
    <xf numFmtId="0" fontId="0" fillId="12" borderId="0" xfId="0" applyFill="1"/>
    <xf numFmtId="0" fontId="16" fillId="12" borderId="0" xfId="0" applyFont="1" applyFill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164" fontId="9" fillId="9" borderId="1" xfId="0" applyNumberFormat="1" applyFont="1" applyFill="1" applyBorder="1" applyAlignment="1">
      <alignment horizontal="right" vertical="center"/>
    </xf>
    <xf numFmtId="166" fontId="9" fillId="9" borderId="1" xfId="0" applyNumberFormat="1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166" fontId="19" fillId="9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164" fontId="11" fillId="11" borderId="1" xfId="0" applyNumberFormat="1" applyFont="1" applyFill="1" applyBorder="1" applyAlignment="1">
      <alignment horizontal="right" vertical="center"/>
    </xf>
    <xf numFmtId="166" fontId="11" fillId="11" borderId="1" xfId="0" applyNumberFormat="1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164" fontId="10" fillId="10" borderId="1" xfId="0" applyNumberFormat="1" applyFont="1" applyFill="1" applyBorder="1" applyAlignment="1">
      <alignment horizontal="right" vertical="center"/>
    </xf>
    <xf numFmtId="166" fontId="10" fillId="10" borderId="1" xfId="0" applyNumberFormat="1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166" fontId="22" fillId="11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6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Latest-Year Financials by Company ($B)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Statements'!$C$200</c:f>
              <c:strCache>
                <c:ptCount val="1"/>
                <c:pt idx="0">
                  <c:v>Revenue ($B)</c:v>
                </c:pt>
              </c:strCache>
            </c:strRef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0"/>
          <c:cat>
            <c:strRef>
              <c:f>'Income Statements'!$B$201:$B$205</c:f>
              <c:strCache>
                <c:ptCount val="5"/>
                <c:pt idx="0">
                  <c:v>Microsoft</c:v>
                </c:pt>
                <c:pt idx="1">
                  <c:v>NextEra Energy</c:v>
                </c:pt>
                <c:pt idx="2">
                  <c:v>Prologis</c:v>
                </c:pt>
                <c:pt idx="3">
                  <c:v>Johnson &amp; Johnson</c:v>
                </c:pt>
                <c:pt idx="4">
                  <c:v>Costco</c:v>
                </c:pt>
              </c:strCache>
            </c:strRef>
          </c:cat>
          <c:val>
            <c:numRef>
              <c:f>'Income Statements'!$C$201:$C$205</c:f>
              <c:numCache>
                <c:formatCode>General</c:formatCode>
                <c:ptCount val="5"/>
                <c:pt idx="0">
                  <c:v>281.7</c:v>
                </c:pt>
                <c:pt idx="1">
                  <c:v>27.4</c:v>
                </c:pt>
                <c:pt idx="2">
                  <c:v>8.8000000000000007</c:v>
                </c:pt>
                <c:pt idx="3">
                  <c:v>94.2</c:v>
                </c:pt>
                <c:pt idx="4">
                  <c:v>275.2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3-4B69-86E1-795092414514}"/>
            </c:ext>
          </c:extLst>
        </c:ser>
        <c:ser>
          <c:idx val="1"/>
          <c:order val="1"/>
          <c:tx>
            <c:strRef>
              <c:f>'Income Statements'!$D$200</c:f>
              <c:strCache>
                <c:ptCount val="1"/>
                <c:pt idx="0">
                  <c:v>Gross Profit ($B)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0"/>
          <c:cat>
            <c:strRef>
              <c:f>'Income Statements'!$B$201:$B$205</c:f>
              <c:strCache>
                <c:ptCount val="5"/>
                <c:pt idx="0">
                  <c:v>Microsoft</c:v>
                </c:pt>
                <c:pt idx="1">
                  <c:v>NextEra Energy</c:v>
                </c:pt>
                <c:pt idx="2">
                  <c:v>Prologis</c:v>
                </c:pt>
                <c:pt idx="3">
                  <c:v>Johnson &amp; Johnson</c:v>
                </c:pt>
                <c:pt idx="4">
                  <c:v>Costco</c:v>
                </c:pt>
              </c:strCache>
            </c:strRef>
          </c:cat>
          <c:val>
            <c:numRef>
              <c:f>'Income Statements'!$D$201:$D$205</c:f>
              <c:numCache>
                <c:formatCode>General</c:formatCode>
                <c:ptCount val="5"/>
                <c:pt idx="0">
                  <c:v>193.9</c:v>
                </c:pt>
                <c:pt idx="1">
                  <c:v>17.100000000000001</c:v>
                </c:pt>
                <c:pt idx="2">
                  <c:v>6.6</c:v>
                </c:pt>
                <c:pt idx="3">
                  <c:v>63.9</c:v>
                </c:pt>
                <c:pt idx="4">
                  <c:v>35.299999999999997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3-4B69-86E1-795092414514}"/>
            </c:ext>
          </c:extLst>
        </c:ser>
        <c:ser>
          <c:idx val="2"/>
          <c:order val="2"/>
          <c:tx>
            <c:strRef>
              <c:f>'Income Statements'!$E$200</c:f>
              <c:strCache>
                <c:ptCount val="1"/>
                <c:pt idx="0">
                  <c:v>Op. Income ($B)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'Income Statements'!$B$201:$B$205</c:f>
              <c:strCache>
                <c:ptCount val="5"/>
                <c:pt idx="0">
                  <c:v>Microsoft</c:v>
                </c:pt>
                <c:pt idx="1">
                  <c:v>NextEra Energy</c:v>
                </c:pt>
                <c:pt idx="2">
                  <c:v>Prologis</c:v>
                </c:pt>
                <c:pt idx="3">
                  <c:v>Johnson &amp; Johnson</c:v>
                </c:pt>
                <c:pt idx="4">
                  <c:v>Costco</c:v>
                </c:pt>
              </c:strCache>
            </c:strRef>
          </c:cat>
          <c:val>
            <c:numRef>
              <c:f>'Income Statements'!$E$201:$E$205</c:f>
              <c:numCache>
                <c:formatCode>General</c:formatCode>
                <c:ptCount val="5"/>
                <c:pt idx="0">
                  <c:v>128.5</c:v>
                </c:pt>
                <c:pt idx="1">
                  <c:v>8</c:v>
                </c:pt>
                <c:pt idx="2">
                  <c:v>3.4</c:v>
                </c:pt>
                <c:pt idx="3">
                  <c:v>25.6</c:v>
                </c:pt>
                <c:pt idx="4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83-4B69-86E1-795092414514}"/>
            </c:ext>
          </c:extLst>
        </c:ser>
        <c:ser>
          <c:idx val="3"/>
          <c:order val="3"/>
          <c:tx>
            <c:strRef>
              <c:f>'Income Statements'!$F$200</c:f>
              <c:strCache>
                <c:ptCount val="1"/>
                <c:pt idx="0">
                  <c:v>Net Income ($B)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0"/>
          <c:cat>
            <c:strRef>
              <c:f>'Income Statements'!$B$201:$B$205</c:f>
              <c:strCache>
                <c:ptCount val="5"/>
                <c:pt idx="0">
                  <c:v>Microsoft</c:v>
                </c:pt>
                <c:pt idx="1">
                  <c:v>NextEra Energy</c:v>
                </c:pt>
                <c:pt idx="2">
                  <c:v>Prologis</c:v>
                </c:pt>
                <c:pt idx="3">
                  <c:v>Johnson &amp; Johnson</c:v>
                </c:pt>
                <c:pt idx="4">
                  <c:v>Costco</c:v>
                </c:pt>
              </c:strCache>
            </c:strRef>
          </c:cat>
          <c:val>
            <c:numRef>
              <c:f>'Income Statements'!$F$201:$F$205</c:f>
              <c:numCache>
                <c:formatCode>General</c:formatCode>
                <c:ptCount val="5"/>
                <c:pt idx="0">
                  <c:v>101.8</c:v>
                </c:pt>
                <c:pt idx="1">
                  <c:v>6.8</c:v>
                </c:pt>
                <c:pt idx="2">
                  <c:v>3.3</c:v>
                </c:pt>
                <c:pt idx="3">
                  <c:v>26.8</c:v>
                </c:pt>
                <c:pt idx="4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83-4B69-86E1-795092414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 ($B)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Revenue Year-over-Year Change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'Variance Analysis'!$C$200</c:f>
              <c:strCache>
                <c:ptCount val="1"/>
                <c:pt idx="0">
                  <c:v>Revenue YoY Change (%)</c:v>
                </c:pt>
              </c:strCache>
            </c:strRef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0"/>
          <c:cat>
            <c:strRef>
              <c:f>'Variance Analysis'!$B$201:$B$205</c:f>
              <c:strCache>
                <c:ptCount val="5"/>
                <c:pt idx="0">
                  <c:v>Microsoft</c:v>
                </c:pt>
                <c:pt idx="1">
                  <c:v>NextEra Energy</c:v>
                </c:pt>
                <c:pt idx="2">
                  <c:v>Prologis</c:v>
                </c:pt>
                <c:pt idx="3">
                  <c:v>Johnson &amp; Johnson</c:v>
                </c:pt>
                <c:pt idx="4">
                  <c:v>Costco</c:v>
                </c:pt>
              </c:strCache>
            </c:strRef>
          </c:cat>
          <c:val>
            <c:numRef>
              <c:f>'Variance Analysis'!$C$201:$C$205</c:f>
              <c:numCache>
                <c:formatCode>General</c:formatCode>
                <c:ptCount val="5"/>
                <c:pt idx="0">
                  <c:v>0.14929999999999999</c:v>
                </c:pt>
                <c:pt idx="1">
                  <c:v>0.1074</c:v>
                </c:pt>
                <c:pt idx="2">
                  <c:v>7.1800000000000003E-2</c:v>
                </c:pt>
                <c:pt idx="3">
                  <c:v>6.0499999999999998E-2</c:v>
                </c:pt>
                <c:pt idx="4">
                  <c:v>8.1699999999999995E-2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B-4E19-AC2D-955E977C4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YoY Change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Profit Margin Comparison — Latest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'Peer Benchmarking'!$C$200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0"/>
          <c:cat>
            <c:strRef>
              <c:f>'Peer Benchmarking'!$B$201:$B$205</c:f>
              <c:strCache>
                <c:ptCount val="5"/>
                <c:pt idx="0">
                  <c:v>Microsoft</c:v>
                </c:pt>
                <c:pt idx="1">
                  <c:v>NextEra Energy</c:v>
                </c:pt>
                <c:pt idx="2">
                  <c:v>Prologis</c:v>
                </c:pt>
                <c:pt idx="3">
                  <c:v>Johnson &amp; Johnson</c:v>
                </c:pt>
                <c:pt idx="4">
                  <c:v>Costco</c:v>
                </c:pt>
              </c:strCache>
            </c:strRef>
          </c:cat>
          <c:val>
            <c:numRef>
              <c:f>'Peer Benchmarking'!$C$201:$C$205</c:f>
              <c:numCache>
                <c:formatCode>General</c:formatCode>
                <c:ptCount val="5"/>
                <c:pt idx="0">
                  <c:v>0.68820000000000003</c:v>
                </c:pt>
                <c:pt idx="1">
                  <c:v>0.62270000000000003</c:v>
                </c:pt>
                <c:pt idx="2">
                  <c:v>0.74580000000000002</c:v>
                </c:pt>
                <c:pt idx="3">
                  <c:v>0.67879999999999996</c:v>
                </c:pt>
                <c:pt idx="4">
                  <c:v>0.12839999999999999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6-4CB4-ABAB-0791A6FEA6CB}"/>
            </c:ext>
          </c:extLst>
        </c:ser>
        <c:ser>
          <c:idx val="1"/>
          <c:order val="1"/>
          <c:tx>
            <c:strRef>
              <c:f>'Peer Benchmarking'!$D$200</c:f>
              <c:strCache>
                <c:ptCount val="1"/>
                <c:pt idx="0">
                  <c:v>Op. Margin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0"/>
          <c:cat>
            <c:strRef>
              <c:f>'Peer Benchmarking'!$B$201:$B$205</c:f>
              <c:strCache>
                <c:ptCount val="5"/>
                <c:pt idx="0">
                  <c:v>Microsoft</c:v>
                </c:pt>
                <c:pt idx="1">
                  <c:v>NextEra Energy</c:v>
                </c:pt>
                <c:pt idx="2">
                  <c:v>Prologis</c:v>
                </c:pt>
                <c:pt idx="3">
                  <c:v>Johnson &amp; Johnson</c:v>
                </c:pt>
                <c:pt idx="4">
                  <c:v>Costco</c:v>
                </c:pt>
              </c:strCache>
            </c:strRef>
          </c:cat>
          <c:val>
            <c:numRef>
              <c:f>'Peer Benchmarking'!$D$201:$D$205</c:f>
              <c:numCache>
                <c:formatCode>General</c:formatCode>
                <c:ptCount val="5"/>
                <c:pt idx="0">
                  <c:v>0.45619999999999999</c:v>
                </c:pt>
                <c:pt idx="1">
                  <c:v>0.29260000000000003</c:v>
                </c:pt>
                <c:pt idx="2">
                  <c:v>0.38840000000000002</c:v>
                </c:pt>
                <c:pt idx="3">
                  <c:v>0.2717</c:v>
                </c:pt>
                <c:pt idx="4">
                  <c:v>3.7699999999999997E-2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66-4CB4-ABAB-0791A6FEA6CB}"/>
            </c:ext>
          </c:extLst>
        </c:ser>
        <c:ser>
          <c:idx val="2"/>
          <c:order val="2"/>
          <c:tx>
            <c:strRef>
              <c:f>'Peer Benchmarking'!$E$200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c:spPr>
          <c:invertIfNegative val="0"/>
          <c:cat>
            <c:strRef>
              <c:f>'Peer Benchmarking'!$B$201:$B$205</c:f>
              <c:strCache>
                <c:ptCount val="5"/>
                <c:pt idx="0">
                  <c:v>Microsoft</c:v>
                </c:pt>
                <c:pt idx="1">
                  <c:v>NextEra Energy</c:v>
                </c:pt>
                <c:pt idx="2">
                  <c:v>Prologis</c:v>
                </c:pt>
                <c:pt idx="3">
                  <c:v>Johnson &amp; Johnson</c:v>
                </c:pt>
                <c:pt idx="4">
                  <c:v>Costco</c:v>
                </c:pt>
              </c:strCache>
            </c:strRef>
          </c:cat>
          <c:val>
            <c:numRef>
              <c:f>'Peer Benchmarking'!$E$201:$E$205</c:f>
              <c:numCache>
                <c:formatCode>General</c:formatCode>
                <c:ptCount val="5"/>
                <c:pt idx="0">
                  <c:v>0.36149999999999999</c:v>
                </c:pt>
                <c:pt idx="1">
                  <c:v>0.24929999999999999</c:v>
                </c:pt>
                <c:pt idx="2">
                  <c:v>0.37859999999999999</c:v>
                </c:pt>
                <c:pt idx="3">
                  <c:v>0.28460000000000002</c:v>
                </c:pt>
                <c:pt idx="4">
                  <c:v>2.9399999999999999E-2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66-4CB4-ABAB-0791A6FEA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Margin (%)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Forecast Revenue by Scenario ($B)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Analysis'!$C$200</c:f>
              <c:strCache>
                <c:ptCount val="1"/>
                <c:pt idx="0">
                  <c:v>Upside ($B)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0"/>
          <c:cat>
            <c:strRef>
              <c:f>'Scenario Analysis'!$B$201:$B$205</c:f>
              <c:strCache>
                <c:ptCount val="5"/>
                <c:pt idx="0">
                  <c:v>Microsoft</c:v>
                </c:pt>
                <c:pt idx="1">
                  <c:v>NextEra Energy</c:v>
                </c:pt>
                <c:pt idx="2">
                  <c:v>Prologis</c:v>
                </c:pt>
                <c:pt idx="3">
                  <c:v>Johnson &amp; Johnson</c:v>
                </c:pt>
                <c:pt idx="4">
                  <c:v>Costco</c:v>
                </c:pt>
              </c:strCache>
            </c:strRef>
          </c:cat>
          <c:val>
            <c:numRef>
              <c:f>'Scenario Analysis'!$C$201:$C$205</c:f>
              <c:numCache>
                <c:formatCode>General</c:formatCode>
                <c:ptCount val="5"/>
                <c:pt idx="0">
                  <c:v>337.9</c:v>
                </c:pt>
                <c:pt idx="1">
                  <c:v>31.7</c:v>
                </c:pt>
                <c:pt idx="2">
                  <c:v>9.9</c:v>
                </c:pt>
                <c:pt idx="3">
                  <c:v>104.6</c:v>
                </c:pt>
                <c:pt idx="4">
                  <c:v>311.5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5-4ACB-9A2D-B8042396D40C}"/>
            </c:ext>
          </c:extLst>
        </c:ser>
        <c:ser>
          <c:idx val="1"/>
          <c:order val="1"/>
          <c:tx>
            <c:strRef>
              <c:f>'Scenario Analysis'!$D$200</c:f>
              <c:strCache>
                <c:ptCount val="1"/>
                <c:pt idx="0">
                  <c:v>Base ($B)</c:v>
                </c:pt>
              </c:strCache>
            </c:strRef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0"/>
          <c:cat>
            <c:strRef>
              <c:f>'Scenario Analysis'!$B$201:$B$205</c:f>
              <c:strCache>
                <c:ptCount val="5"/>
                <c:pt idx="0">
                  <c:v>Microsoft</c:v>
                </c:pt>
                <c:pt idx="1">
                  <c:v>NextEra Energy</c:v>
                </c:pt>
                <c:pt idx="2">
                  <c:v>Prologis</c:v>
                </c:pt>
                <c:pt idx="3">
                  <c:v>Johnson &amp; Johnson</c:v>
                </c:pt>
                <c:pt idx="4">
                  <c:v>Costco</c:v>
                </c:pt>
              </c:strCache>
            </c:strRef>
          </c:cat>
          <c:val>
            <c:numRef>
              <c:f>'Scenario Analysis'!$D$201:$D$205</c:f>
              <c:numCache>
                <c:formatCode>General</c:formatCode>
                <c:ptCount val="5"/>
                <c:pt idx="0">
                  <c:v>323.8</c:v>
                </c:pt>
                <c:pt idx="1">
                  <c:v>30.4</c:v>
                </c:pt>
                <c:pt idx="2">
                  <c:v>9.4</c:v>
                </c:pt>
                <c:pt idx="3">
                  <c:v>99.9</c:v>
                </c:pt>
                <c:pt idx="4">
                  <c:v>297.7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5-4ACB-9A2D-B8042396D40C}"/>
            </c:ext>
          </c:extLst>
        </c:ser>
        <c:ser>
          <c:idx val="2"/>
          <c:order val="2"/>
          <c:tx>
            <c:strRef>
              <c:f>'Scenario Analysis'!$E$200</c:f>
              <c:strCache>
                <c:ptCount val="1"/>
                <c:pt idx="0">
                  <c:v>Downside ($B)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'Scenario Analysis'!$B$201:$B$205</c:f>
              <c:strCache>
                <c:ptCount val="5"/>
                <c:pt idx="0">
                  <c:v>Microsoft</c:v>
                </c:pt>
                <c:pt idx="1">
                  <c:v>NextEra Energy</c:v>
                </c:pt>
                <c:pt idx="2">
                  <c:v>Prologis</c:v>
                </c:pt>
                <c:pt idx="3">
                  <c:v>Johnson &amp; Johnson</c:v>
                </c:pt>
                <c:pt idx="4">
                  <c:v>Costco</c:v>
                </c:pt>
              </c:strCache>
            </c:strRef>
          </c:cat>
          <c:val>
            <c:numRef>
              <c:f>'Scenario Analysis'!$E$201:$E$205</c:f>
              <c:numCache>
                <c:formatCode>General</c:formatCode>
                <c:ptCount val="5"/>
                <c:pt idx="0">
                  <c:v>309.7</c:v>
                </c:pt>
                <c:pt idx="1">
                  <c:v>29</c:v>
                </c:pt>
                <c:pt idx="2">
                  <c:v>9</c:v>
                </c:pt>
                <c:pt idx="3">
                  <c:v>95.2</c:v>
                </c:pt>
                <c:pt idx="4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F5-4ACB-9A2D-B8042396D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 ($B)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FY2025 Budget vs Actual Revenue by Segment ($B)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vs Actuals'!$C$80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0"/>
          <c:cat>
            <c:strRef>
              <c:f>'Budget vs Actuals'!$B$81:$B$83</c:f>
              <c:strCache>
                <c:ptCount val="3"/>
                <c:pt idx="0">
                  <c:v>Productivity</c:v>
                </c:pt>
                <c:pt idx="1">
                  <c:v>Intelligent Cloud</c:v>
                </c:pt>
                <c:pt idx="2">
                  <c:v>More Personal Comp.</c:v>
                </c:pt>
              </c:strCache>
            </c:strRef>
          </c:cat>
          <c:val>
            <c:numRef>
              <c:f>'Budget vs Actuals'!$C$81:$C$83</c:f>
              <c:numCache>
                <c:formatCode>General</c:formatCode>
                <c:ptCount val="3"/>
                <c:pt idx="0">
                  <c:v>85.1</c:v>
                </c:pt>
                <c:pt idx="1">
                  <c:v>126.2</c:v>
                </c:pt>
                <c:pt idx="2">
                  <c:v>61.9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F-4075-BA9F-A314D4A231E0}"/>
            </c:ext>
          </c:extLst>
        </c:ser>
        <c:ser>
          <c:idx val="1"/>
          <c:order val="1"/>
          <c:tx>
            <c:strRef>
              <c:f>'Budget vs Actuals'!$D$80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0"/>
          <c:cat>
            <c:strRef>
              <c:f>'Budget vs Actuals'!$B$81:$B$83</c:f>
              <c:strCache>
                <c:ptCount val="3"/>
                <c:pt idx="0">
                  <c:v>Productivity</c:v>
                </c:pt>
                <c:pt idx="1">
                  <c:v>Intelligent Cloud</c:v>
                </c:pt>
                <c:pt idx="2">
                  <c:v>More Personal Comp.</c:v>
                </c:pt>
              </c:strCache>
            </c:strRef>
          </c:cat>
          <c:val>
            <c:numRef>
              <c:f>'Budget vs Actuals'!$D$81:$D$83</c:f>
              <c:numCache>
                <c:formatCode>General</c:formatCode>
                <c:ptCount val="3"/>
                <c:pt idx="0">
                  <c:v>84.7</c:v>
                </c:pt>
                <c:pt idx="1">
                  <c:v>127.8</c:v>
                </c:pt>
                <c:pt idx="2">
                  <c:v>54.8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DF-4075-BA9F-A314D4A23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($B)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936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6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110</xdr:row>
      <xdr:rowOff>0</xdr:rowOff>
    </xdr:from>
    <xdr:ext cx="936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34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5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sqref="A1:I1"/>
    </sheetView>
  </sheetViews>
  <sheetFormatPr defaultRowHeight="14.5" x14ac:dyDescent="0.35"/>
  <cols>
    <col min="1" max="1" width="3" customWidth="1"/>
    <col min="2" max="2" width="10" customWidth="1"/>
    <col min="3" max="6" width="18" customWidth="1"/>
    <col min="7" max="9" width="14" customWidth="1"/>
  </cols>
  <sheetData>
    <row r="1" spans="1:9" ht="32" customHeight="1" x14ac:dyDescent="0.35">
      <c r="A1" s="96" t="s">
        <v>0</v>
      </c>
      <c r="B1" s="95"/>
      <c r="C1" s="95"/>
      <c r="D1" s="95"/>
      <c r="E1" s="95"/>
      <c r="F1" s="95"/>
      <c r="G1" s="95"/>
      <c r="H1" s="95"/>
      <c r="I1" s="95"/>
    </row>
    <row r="2" spans="1:9" ht="18" customHeight="1" x14ac:dyDescent="0.35">
      <c r="A2" s="94" t="s">
        <v>1</v>
      </c>
      <c r="B2" s="95"/>
      <c r="C2" s="95"/>
      <c r="D2" s="95"/>
      <c r="E2" s="95"/>
      <c r="F2" s="95"/>
      <c r="G2" s="95"/>
      <c r="H2" s="95"/>
      <c r="I2" s="95"/>
    </row>
    <row r="3" spans="1:9" ht="6" customHeight="1" x14ac:dyDescent="0.35"/>
    <row r="4" spans="1:9" ht="22" customHeight="1" x14ac:dyDescent="0.35">
      <c r="A4" s="1"/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20" customHeight="1" x14ac:dyDescent="0.35">
      <c r="A5" s="91" t="s">
        <v>10</v>
      </c>
      <c r="B5" s="92"/>
      <c r="C5" s="92"/>
      <c r="D5" s="92"/>
      <c r="E5" s="92"/>
      <c r="F5" s="92"/>
      <c r="G5" s="92"/>
      <c r="H5" s="92"/>
      <c r="I5" s="93"/>
    </row>
    <row r="6" spans="1:9" ht="16" customHeight="1" x14ac:dyDescent="0.35">
      <c r="A6" s="2"/>
      <c r="B6" s="3" t="s">
        <v>11</v>
      </c>
      <c r="C6" s="4">
        <v>281.72399999999999</v>
      </c>
      <c r="D6" s="4">
        <v>193.893</v>
      </c>
      <c r="E6" s="4">
        <v>128.52799999999999</v>
      </c>
      <c r="F6" s="4">
        <v>101.83199999999999</v>
      </c>
      <c r="G6" s="5">
        <f>IFERROR(D6/C6,"")</f>
        <v>0.68823742386165188</v>
      </c>
      <c r="H6" s="5">
        <f>IFERROR(E6/C6,"")</f>
        <v>0.45621956240859846</v>
      </c>
      <c r="I6" s="5">
        <f>IFERROR(F6/C6,"")</f>
        <v>0.36146015248967073</v>
      </c>
    </row>
    <row r="7" spans="1:9" ht="16" customHeight="1" x14ac:dyDescent="0.35">
      <c r="A7" s="2"/>
      <c r="B7" s="3" t="s">
        <v>12</v>
      </c>
      <c r="C7" s="4">
        <v>245.12200000000001</v>
      </c>
      <c r="D7" s="4">
        <v>171.00800000000001</v>
      </c>
      <c r="E7" s="4">
        <v>109.43300000000001</v>
      </c>
      <c r="F7" s="4">
        <v>88.135999999999996</v>
      </c>
      <c r="G7" s="5">
        <f>IFERROR(D7/C7,"")</f>
        <v>0.69764443827971379</v>
      </c>
      <c r="H7" s="5">
        <f>IFERROR(E7/C7,"")</f>
        <v>0.44644299573273716</v>
      </c>
      <c r="I7" s="5">
        <f>IFERROR(F7/C7,"")</f>
        <v>0.35955972944084985</v>
      </c>
    </row>
    <row r="8" spans="1:9" ht="16" customHeight="1" x14ac:dyDescent="0.35">
      <c r="A8" s="2"/>
      <c r="B8" s="3" t="s">
        <v>13</v>
      </c>
      <c r="C8" s="4">
        <v>211.91499999999999</v>
      </c>
      <c r="D8" s="4">
        <v>146.05199999999999</v>
      </c>
      <c r="E8" s="4">
        <v>88.522999999999996</v>
      </c>
      <c r="F8" s="4">
        <v>72.361000000000004</v>
      </c>
      <c r="G8" s="5">
        <f>IFERROR(D8/C8,"")</f>
        <v>0.68920085883491022</v>
      </c>
      <c r="H8" s="5">
        <f>IFERROR(E8/C8,"")</f>
        <v>0.41772880636104098</v>
      </c>
      <c r="I8" s="5">
        <f>IFERROR(F8/C8,"")</f>
        <v>0.34146237878394642</v>
      </c>
    </row>
    <row r="9" spans="1:9" ht="16" customHeight="1" x14ac:dyDescent="0.35">
      <c r="A9" s="2"/>
      <c r="B9" s="3" t="s">
        <v>14</v>
      </c>
      <c r="C9" s="4">
        <v>198.27</v>
      </c>
      <c r="D9" s="4">
        <v>135.62</v>
      </c>
      <c r="E9" s="4">
        <v>83.382999999999996</v>
      </c>
      <c r="F9" s="4">
        <v>72.738</v>
      </c>
      <c r="G9" s="5">
        <f>IFERROR(D9/C9,"")</f>
        <v>0.68401674484289099</v>
      </c>
      <c r="H9" s="5">
        <f>IFERROR(E9/C9,"")</f>
        <v>0.42055278156049825</v>
      </c>
      <c r="I9" s="5">
        <f>IFERROR(F9/C9,"")</f>
        <v>0.36686336813436221</v>
      </c>
    </row>
    <row r="10" spans="1:9" ht="4" customHeight="1" x14ac:dyDescent="0.35">
      <c r="A10" s="6"/>
      <c r="B10" s="6"/>
      <c r="C10" s="6"/>
      <c r="D10" s="6"/>
      <c r="E10" s="6"/>
      <c r="F10" s="6"/>
      <c r="G10" s="6"/>
      <c r="H10" s="6"/>
      <c r="I10" s="6"/>
    </row>
    <row r="11" spans="1:9" ht="20" customHeight="1" x14ac:dyDescent="0.35">
      <c r="A11" s="91" t="s">
        <v>15</v>
      </c>
      <c r="B11" s="92"/>
      <c r="C11" s="92"/>
      <c r="D11" s="92"/>
      <c r="E11" s="92"/>
      <c r="F11" s="92"/>
      <c r="G11" s="92"/>
      <c r="H11" s="92"/>
      <c r="I11" s="93"/>
    </row>
    <row r="12" spans="1:9" ht="16" customHeight="1" x14ac:dyDescent="0.35">
      <c r="A12" s="7"/>
      <c r="B12" s="8" t="s">
        <v>11</v>
      </c>
      <c r="C12" s="9">
        <v>27.411999999999999</v>
      </c>
      <c r="D12" s="9">
        <v>17.068999999999999</v>
      </c>
      <c r="E12" s="9">
        <v>8.02</v>
      </c>
      <c r="F12" s="9">
        <v>6.835</v>
      </c>
      <c r="G12" s="10">
        <f>IFERROR(D12/C12,"")</f>
        <v>0.62268349627900188</v>
      </c>
      <c r="H12" s="10">
        <f>IFERROR(E12/C12,"")</f>
        <v>0.29257259594338247</v>
      </c>
      <c r="I12" s="10">
        <f>IFERROR(F12/C12,"")</f>
        <v>0.24934335327593754</v>
      </c>
    </row>
    <row r="13" spans="1:9" ht="16" customHeight="1" x14ac:dyDescent="0.35">
      <c r="A13" s="7"/>
      <c r="B13" s="8" t="s">
        <v>12</v>
      </c>
      <c r="C13" s="9">
        <v>24.753</v>
      </c>
      <c r="D13" s="9">
        <v>14.867000000000001</v>
      </c>
      <c r="E13" s="9">
        <v>7.1269999999999998</v>
      </c>
      <c r="F13" s="9">
        <v>6.9459999999999997</v>
      </c>
      <c r="G13" s="10">
        <f>IFERROR(D13/C13,"")</f>
        <v>0.60061406698177999</v>
      </c>
      <c r="H13" s="10">
        <f>IFERROR(E13/C13,"")</f>
        <v>0.28792469599644488</v>
      </c>
      <c r="I13" s="10">
        <f>IFERROR(F13/C13,"")</f>
        <v>0.28061245101603843</v>
      </c>
    </row>
    <row r="14" spans="1:9" ht="16" customHeight="1" x14ac:dyDescent="0.35">
      <c r="A14" s="7"/>
      <c r="B14" s="8" t="s">
        <v>13</v>
      </c>
      <c r="C14" s="9">
        <v>28.114000000000001</v>
      </c>
      <c r="D14" s="9">
        <v>17.975999999999999</v>
      </c>
      <c r="E14" s="9">
        <v>9.8320000000000007</v>
      </c>
      <c r="F14" s="9">
        <v>7.31</v>
      </c>
      <c r="G14" s="10">
        <f>IFERROR(D14/C14,"")</f>
        <v>0.63939674183680728</v>
      </c>
      <c r="H14" s="10">
        <f>IFERROR(E14/C14,"")</f>
        <v>0.34971900120936189</v>
      </c>
      <c r="I14" s="10">
        <f>IFERROR(F14/C14,"")</f>
        <v>0.26001280500818097</v>
      </c>
    </row>
    <row r="15" spans="1:9" ht="16" customHeight="1" x14ac:dyDescent="0.35">
      <c r="A15" s="7"/>
      <c r="B15" s="8" t="s">
        <v>14</v>
      </c>
      <c r="C15" s="9">
        <v>20.956</v>
      </c>
      <c r="D15" s="9">
        <v>10.138999999999999</v>
      </c>
      <c r="E15" s="9">
        <v>3.5590000000000002</v>
      </c>
      <c r="F15" s="9">
        <v>4.1470000000000002</v>
      </c>
      <c r="G15" s="10">
        <f>IFERROR(D15/C15,"")</f>
        <v>0.48382324871158616</v>
      </c>
      <c r="H15" s="10">
        <f>IFERROR(E15/C15,"")</f>
        <v>0.16983202901317046</v>
      </c>
      <c r="I15" s="10">
        <f>IFERROR(F15/C15,"")</f>
        <v>0.1978908188585608</v>
      </c>
    </row>
    <row r="16" spans="1:9" ht="4" customHeight="1" x14ac:dyDescent="0.35">
      <c r="A16" s="6"/>
      <c r="B16" s="6"/>
      <c r="C16" s="6"/>
      <c r="D16" s="6"/>
      <c r="E16" s="6"/>
      <c r="F16" s="6"/>
      <c r="G16" s="6"/>
      <c r="H16" s="6"/>
      <c r="I16" s="6"/>
    </row>
    <row r="17" spans="1:9" ht="20" customHeight="1" x14ac:dyDescent="0.35">
      <c r="A17" s="91" t="s">
        <v>16</v>
      </c>
      <c r="B17" s="92"/>
      <c r="C17" s="92"/>
      <c r="D17" s="92"/>
      <c r="E17" s="92"/>
      <c r="F17" s="92"/>
      <c r="G17" s="92"/>
      <c r="H17" s="92"/>
      <c r="I17" s="93"/>
    </row>
    <row r="18" spans="1:9" ht="16" customHeight="1" x14ac:dyDescent="0.35">
      <c r="A18" s="11"/>
      <c r="B18" s="12" t="s">
        <v>11</v>
      </c>
      <c r="C18" s="13">
        <v>8.790127</v>
      </c>
      <c r="D18" s="13">
        <v>6.5554730000000001</v>
      </c>
      <c r="E18" s="13">
        <v>3.4143020000000002</v>
      </c>
      <c r="F18" s="13">
        <v>3.3282310000000002</v>
      </c>
      <c r="G18" s="14">
        <f>IFERROR(D18/C18,"")</f>
        <v>0.74577682438490367</v>
      </c>
      <c r="H18" s="14">
        <f>IFERROR(E18/C18,"")</f>
        <v>0.38842464960972695</v>
      </c>
      <c r="I18" s="14">
        <f>IFERROR(F18/C18,"")</f>
        <v>0.37863286844433536</v>
      </c>
    </row>
    <row r="19" spans="1:9" ht="16" customHeight="1" x14ac:dyDescent="0.35">
      <c r="A19" s="11"/>
      <c r="B19" s="12" t="s">
        <v>12</v>
      </c>
      <c r="C19" s="13">
        <v>8.2016100000000005</v>
      </c>
      <c r="D19" s="13">
        <v>6.1443690000000002</v>
      </c>
      <c r="E19" s="13">
        <v>3.0980409999999998</v>
      </c>
      <c r="F19" s="13">
        <v>3.7316349999999998</v>
      </c>
      <c r="G19" s="14">
        <f>IFERROR(D19/C19,"")</f>
        <v>0.74916620029482017</v>
      </c>
      <c r="H19" s="14">
        <f>IFERROR(E19/C19,"")</f>
        <v>0.37773571286613233</v>
      </c>
      <c r="I19" s="14">
        <f>IFERROR(F19/C19,"")</f>
        <v>0.45498810599382311</v>
      </c>
    </row>
    <row r="20" spans="1:9" ht="16" customHeight="1" x14ac:dyDescent="0.35">
      <c r="A20" s="11"/>
      <c r="B20" s="12" t="s">
        <v>13</v>
      </c>
      <c r="C20" s="13">
        <v>8.0234690000000004</v>
      </c>
      <c r="D20" s="13">
        <v>6.013134</v>
      </c>
      <c r="E20" s="13">
        <v>3.0844830000000001</v>
      </c>
      <c r="F20" s="13">
        <v>3.0592139999999999</v>
      </c>
      <c r="G20" s="14">
        <f>IFERROR(D20/C20,"")</f>
        <v>0.7494431647956763</v>
      </c>
      <c r="H20" s="14">
        <f>IFERROR(E20/C20,"")</f>
        <v>0.38443259393162732</v>
      </c>
      <c r="I20" s="14">
        <f>IFERROR(F20/C20,"")</f>
        <v>0.38128320804878785</v>
      </c>
    </row>
    <row r="21" spans="1:9" ht="16" customHeight="1" x14ac:dyDescent="0.35">
      <c r="A21" s="11"/>
      <c r="B21" s="12" t="s">
        <v>14</v>
      </c>
      <c r="C21" s="13">
        <v>5.9736919999999998</v>
      </c>
      <c r="D21" s="13">
        <v>4.4645979999999996</v>
      </c>
      <c r="E21" s="13">
        <v>2.280402</v>
      </c>
      <c r="F21" s="13">
        <v>3.3648560000000001</v>
      </c>
      <c r="G21" s="14">
        <f>IFERROR(D21/C21,"")</f>
        <v>0.74737666421368887</v>
      </c>
      <c r="H21" s="14">
        <f>IFERROR(E21/C21,"")</f>
        <v>0.38174080618819989</v>
      </c>
      <c r="I21" s="14">
        <f>IFERROR(F21/C21,"")</f>
        <v>0.56327912453470985</v>
      </c>
    </row>
    <row r="22" spans="1:9" ht="4" customHeight="1" x14ac:dyDescent="0.35">
      <c r="A22" s="6"/>
      <c r="B22" s="6"/>
      <c r="C22" s="6"/>
      <c r="D22" s="6"/>
      <c r="E22" s="6"/>
      <c r="F22" s="6"/>
      <c r="G22" s="6"/>
      <c r="H22" s="6"/>
      <c r="I22" s="6"/>
    </row>
    <row r="23" spans="1:9" ht="20" customHeight="1" x14ac:dyDescent="0.35">
      <c r="A23" s="91" t="s">
        <v>17</v>
      </c>
      <c r="B23" s="92"/>
      <c r="C23" s="92"/>
      <c r="D23" s="92"/>
      <c r="E23" s="92"/>
      <c r="F23" s="92"/>
      <c r="G23" s="92"/>
      <c r="H23" s="92"/>
      <c r="I23" s="93"/>
    </row>
    <row r="24" spans="1:9" ht="16" customHeight="1" x14ac:dyDescent="0.35">
      <c r="A24" s="15"/>
      <c r="B24" s="16" t="s">
        <v>11</v>
      </c>
      <c r="C24" s="17">
        <v>94.192999999999998</v>
      </c>
      <c r="D24" s="17">
        <v>63.936999999999998</v>
      </c>
      <c r="E24" s="17">
        <v>25.596</v>
      </c>
      <c r="F24" s="17">
        <v>26.803999999999998</v>
      </c>
      <c r="G24" s="18">
        <f>IFERROR(D24/C24,"")</f>
        <v>0.67878717102120112</v>
      </c>
      <c r="H24" s="18">
        <f>IFERROR(E24/C24,"")</f>
        <v>0.27173993821196907</v>
      </c>
      <c r="I24" s="18">
        <f>IFERROR(F24/C24,"")</f>
        <v>0.2845646704107524</v>
      </c>
    </row>
    <row r="25" spans="1:9" ht="16" customHeight="1" x14ac:dyDescent="0.35">
      <c r="A25" s="15"/>
      <c r="B25" s="16" t="s">
        <v>12</v>
      </c>
      <c r="C25" s="17">
        <v>88.820999999999998</v>
      </c>
      <c r="D25" s="17">
        <v>61.35</v>
      </c>
      <c r="E25" s="17">
        <v>21.248999999999999</v>
      </c>
      <c r="F25" s="17">
        <v>14.066000000000001</v>
      </c>
      <c r="G25" s="18">
        <f>IFERROR(D25/C25,"")</f>
        <v>0.69071503360691733</v>
      </c>
      <c r="H25" s="18">
        <f>IFERROR(E25/C25,"")</f>
        <v>0.23923396494072346</v>
      </c>
      <c r="I25" s="18">
        <f>IFERROR(F25/C25,"")</f>
        <v>0.15836345008500244</v>
      </c>
    </row>
    <row r="26" spans="1:9" ht="16" customHeight="1" x14ac:dyDescent="0.35">
      <c r="A26" s="15"/>
      <c r="B26" s="16" t="s">
        <v>13</v>
      </c>
      <c r="C26" s="17">
        <v>85.159000000000006</v>
      </c>
      <c r="D26" s="17">
        <v>58.606000000000002</v>
      </c>
      <c r="E26" s="17">
        <v>22.009</v>
      </c>
      <c r="F26" s="17">
        <v>35.152999999999999</v>
      </c>
      <c r="G26" s="18">
        <f>IFERROR(D26/C26,"")</f>
        <v>0.68819502342676642</v>
      </c>
      <c r="H26" s="18">
        <f>IFERROR(E26/C26,"")</f>
        <v>0.25844596578165546</v>
      </c>
      <c r="I26" s="18">
        <f>IFERROR(F26/C26,"")</f>
        <v>0.41279254101151958</v>
      </c>
    </row>
    <row r="27" spans="1:9" ht="16" customHeight="1" x14ac:dyDescent="0.35">
      <c r="A27" s="15"/>
      <c r="B27" s="16" t="s">
        <v>14</v>
      </c>
      <c r="C27" s="17">
        <v>79.989999999999995</v>
      </c>
      <c r="D27" s="17">
        <v>55.393999999999998</v>
      </c>
      <c r="E27" s="17">
        <v>21.013000000000002</v>
      </c>
      <c r="F27" s="17">
        <v>17.940999999999999</v>
      </c>
      <c r="G27" s="18">
        <f>IFERROR(D27/C27,"")</f>
        <v>0.69251156394549318</v>
      </c>
      <c r="H27" s="18">
        <f>IFERROR(E27/C27,"")</f>
        <v>0.26269533691711466</v>
      </c>
      <c r="I27" s="18">
        <f>IFERROR(F27/C27,"")</f>
        <v>0.22429053631703963</v>
      </c>
    </row>
    <row r="28" spans="1:9" ht="4" customHeight="1" x14ac:dyDescent="0.35">
      <c r="A28" s="6"/>
      <c r="B28" s="6"/>
      <c r="C28" s="6"/>
      <c r="D28" s="6"/>
      <c r="E28" s="6"/>
      <c r="F28" s="6"/>
      <c r="G28" s="6"/>
      <c r="H28" s="6"/>
      <c r="I28" s="6"/>
    </row>
    <row r="29" spans="1:9" ht="20" customHeight="1" x14ac:dyDescent="0.35">
      <c r="A29" s="91" t="s">
        <v>18</v>
      </c>
      <c r="B29" s="92"/>
      <c r="C29" s="92"/>
      <c r="D29" s="92"/>
      <c r="E29" s="92"/>
      <c r="F29" s="92"/>
      <c r="G29" s="92"/>
      <c r="H29" s="92"/>
      <c r="I29" s="93"/>
    </row>
    <row r="30" spans="1:9" ht="16" customHeight="1" x14ac:dyDescent="0.35">
      <c r="A30" s="19"/>
      <c r="B30" s="20" t="s">
        <v>11</v>
      </c>
      <c r="C30" s="21">
        <v>275.23500000000001</v>
      </c>
      <c r="D30" s="21">
        <v>35.348999999999997</v>
      </c>
      <c r="E30" s="21">
        <v>10.382999999999999</v>
      </c>
      <c r="F30" s="21">
        <v>8.0990000000000002</v>
      </c>
      <c r="G30" s="22">
        <f>IFERROR(D30/C30,"")</f>
        <v>0.12843206714262356</v>
      </c>
      <c r="H30" s="22">
        <f>IFERROR(E30/C30,"")</f>
        <v>3.7724126655403561E-2</v>
      </c>
      <c r="I30" s="22">
        <f>IFERROR(F30/C30,"")</f>
        <v>2.9425763438516175E-2</v>
      </c>
    </row>
    <row r="31" spans="1:9" ht="16" customHeight="1" x14ac:dyDescent="0.35">
      <c r="A31" s="19"/>
      <c r="B31" s="20" t="s">
        <v>12</v>
      </c>
      <c r="C31" s="21">
        <v>254.453</v>
      </c>
      <c r="D31" s="21">
        <v>32.094999999999999</v>
      </c>
      <c r="E31" s="21">
        <v>9.2850000000000001</v>
      </c>
      <c r="F31" s="21">
        <v>7.367</v>
      </c>
      <c r="G31" s="22">
        <f>IFERROR(D31/C31,"")</f>
        <v>0.1261333134213391</v>
      </c>
      <c r="H31" s="22">
        <f>IFERROR(E31/C31,"")</f>
        <v>3.6490039417888566E-2</v>
      </c>
      <c r="I31" s="22">
        <f>IFERROR(F31/C31,"")</f>
        <v>2.8952301603832536E-2</v>
      </c>
    </row>
    <row r="32" spans="1:9" ht="16" customHeight="1" x14ac:dyDescent="0.35">
      <c r="A32" s="19"/>
      <c r="B32" s="20" t="s">
        <v>13</v>
      </c>
      <c r="C32" s="21">
        <v>242.29</v>
      </c>
      <c r="D32" s="21">
        <v>29.704000000000001</v>
      </c>
      <c r="E32" s="21">
        <v>8.1140000000000008</v>
      </c>
      <c r="F32" s="21">
        <v>6.2919999999999998</v>
      </c>
      <c r="G32" s="22">
        <f>IFERROR(D32/C32,"")</f>
        <v>0.12259688802674482</v>
      </c>
      <c r="H32" s="22">
        <f>IFERROR(E32/C32,"")</f>
        <v>3.3488794419910033E-2</v>
      </c>
      <c r="I32" s="22">
        <f>IFERROR(F32/C32,"")</f>
        <v>2.5968880267448098E-2</v>
      </c>
    </row>
    <row r="33" spans="1:9" ht="16" customHeight="1" x14ac:dyDescent="0.35">
      <c r="A33" s="19"/>
      <c r="B33" s="20" t="s">
        <v>14</v>
      </c>
      <c r="C33" s="21">
        <v>226.95400000000001</v>
      </c>
      <c r="D33" s="21">
        <v>27.571999999999999</v>
      </c>
      <c r="E33" s="21">
        <v>7.7930000000000001</v>
      </c>
      <c r="F33" s="21">
        <v>5.8440000000000003</v>
      </c>
      <c r="G33" s="22">
        <f>IFERROR(D33/C33,"")</f>
        <v>0.12148717361227385</v>
      </c>
      <c r="H33" s="22">
        <f>IFERROR(E33/C33,"")</f>
        <v>3.4337354706240032E-2</v>
      </c>
      <c r="I33" s="22">
        <f>IFERROR(F33/C33,"")</f>
        <v>2.5749711395260715E-2</v>
      </c>
    </row>
    <row r="34" spans="1:9" ht="4" customHeight="1" x14ac:dyDescent="0.35">
      <c r="A34" s="6"/>
      <c r="B34" s="6"/>
      <c r="C34" s="6"/>
      <c r="D34" s="6"/>
      <c r="E34" s="6"/>
      <c r="F34" s="6"/>
      <c r="G34" s="6"/>
      <c r="H34" s="6"/>
      <c r="I34" s="6"/>
    </row>
    <row r="35" spans="1:9" x14ac:dyDescent="0.35">
      <c r="A35" s="97" t="s">
        <v>19</v>
      </c>
      <c r="B35" s="95"/>
      <c r="C35" s="95"/>
      <c r="D35" s="95"/>
      <c r="E35" s="95"/>
      <c r="F35" s="95"/>
      <c r="G35" s="95"/>
      <c r="H35" s="95"/>
      <c r="I35" s="95"/>
    </row>
    <row r="200" spans="2:6" x14ac:dyDescent="0.35">
      <c r="B200" t="s">
        <v>20</v>
      </c>
      <c r="C200" t="s">
        <v>3</v>
      </c>
      <c r="D200" t="s">
        <v>4</v>
      </c>
      <c r="E200" t="s">
        <v>5</v>
      </c>
      <c r="F200" t="s">
        <v>6</v>
      </c>
    </row>
    <row r="201" spans="2:6" x14ac:dyDescent="0.35">
      <c r="B201" t="s">
        <v>21</v>
      </c>
      <c r="C201">
        <v>281.7</v>
      </c>
      <c r="D201">
        <v>193.9</v>
      </c>
      <c r="E201">
        <v>128.5</v>
      </c>
      <c r="F201">
        <v>101.8</v>
      </c>
    </row>
    <row r="202" spans="2:6" x14ac:dyDescent="0.35">
      <c r="B202" t="s">
        <v>22</v>
      </c>
      <c r="C202">
        <v>27.4</v>
      </c>
      <c r="D202">
        <v>17.100000000000001</v>
      </c>
      <c r="E202">
        <v>8</v>
      </c>
      <c r="F202">
        <v>6.8</v>
      </c>
    </row>
    <row r="203" spans="2:6" x14ac:dyDescent="0.35">
      <c r="B203" t="s">
        <v>23</v>
      </c>
      <c r="C203">
        <v>8.8000000000000007</v>
      </c>
      <c r="D203">
        <v>6.6</v>
      </c>
      <c r="E203">
        <v>3.4</v>
      </c>
      <c r="F203">
        <v>3.3</v>
      </c>
    </row>
    <row r="204" spans="2:6" x14ac:dyDescent="0.35">
      <c r="B204" t="s">
        <v>24</v>
      </c>
      <c r="C204">
        <v>94.2</v>
      </c>
      <c r="D204">
        <v>63.9</v>
      </c>
      <c r="E204">
        <v>25.6</v>
      </c>
      <c r="F204">
        <v>26.8</v>
      </c>
    </row>
    <row r="205" spans="2:6" x14ac:dyDescent="0.35">
      <c r="B205" t="s">
        <v>25</v>
      </c>
      <c r="C205">
        <v>275.2</v>
      </c>
      <c r="D205">
        <v>35.299999999999997</v>
      </c>
      <c r="E205">
        <v>10.4</v>
      </c>
      <c r="F205">
        <v>8.1</v>
      </c>
    </row>
  </sheetData>
  <mergeCells count="8">
    <mergeCell ref="A35:I35"/>
    <mergeCell ref="A29:I29"/>
    <mergeCell ref="A2:I2"/>
    <mergeCell ref="A11:I11"/>
    <mergeCell ref="A5:I5"/>
    <mergeCell ref="A1:I1"/>
    <mergeCell ref="A17:I17"/>
    <mergeCell ref="A23:I2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5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G1"/>
    </sheetView>
  </sheetViews>
  <sheetFormatPr defaultRowHeight="14.5" x14ac:dyDescent="0.35"/>
  <cols>
    <col min="1" max="1" width="3" customWidth="1"/>
    <col min="2" max="2" width="26" customWidth="1"/>
    <col min="3" max="4" width="16" customWidth="1"/>
    <col min="5" max="5" width="18" customWidth="1"/>
    <col min="6" max="6" width="16" customWidth="1"/>
    <col min="7" max="7" width="3" customWidth="1"/>
  </cols>
  <sheetData>
    <row r="1" spans="1:7" ht="32" customHeight="1" x14ac:dyDescent="0.35">
      <c r="A1" s="96" t="s">
        <v>26</v>
      </c>
      <c r="B1" s="95"/>
      <c r="C1" s="95"/>
      <c r="D1" s="95"/>
      <c r="E1" s="95"/>
      <c r="F1" s="95"/>
      <c r="G1" s="95"/>
    </row>
    <row r="2" spans="1:7" ht="18" customHeight="1" x14ac:dyDescent="0.35">
      <c r="A2" s="94" t="s">
        <v>27</v>
      </c>
      <c r="B2" s="95"/>
      <c r="C2" s="95"/>
      <c r="D2" s="95"/>
      <c r="E2" s="95"/>
      <c r="F2" s="95"/>
      <c r="G2" s="95"/>
    </row>
    <row r="3" spans="1:7" ht="6" customHeight="1" x14ac:dyDescent="0.35"/>
    <row r="4" spans="1:7" ht="22" customHeight="1" x14ac:dyDescent="0.35">
      <c r="A4" s="1"/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/>
    </row>
    <row r="5" spans="1:7" ht="20" customHeight="1" x14ac:dyDescent="0.35">
      <c r="A5" s="91" t="s">
        <v>33</v>
      </c>
      <c r="B5" s="92"/>
      <c r="C5" s="92"/>
      <c r="D5" s="92"/>
      <c r="E5" s="92"/>
      <c r="F5" s="92"/>
      <c r="G5" s="93"/>
    </row>
    <row r="6" spans="1:7" ht="16" customHeight="1" x14ac:dyDescent="0.35">
      <c r="A6" s="2"/>
      <c r="B6" s="23" t="s">
        <v>34</v>
      </c>
      <c r="C6" s="4">
        <v>281.72399999999999</v>
      </c>
      <c r="D6" s="4">
        <v>245.12200000000001</v>
      </c>
      <c r="E6" s="24">
        <f>IFERROR(C6-D6,"")</f>
        <v>36.601999999999975</v>
      </c>
      <c r="F6" s="25">
        <f>IFERROR(E6/D6,"")</f>
        <v>0.1493215623240671</v>
      </c>
      <c r="G6" s="2"/>
    </row>
    <row r="7" spans="1:7" ht="16" customHeight="1" x14ac:dyDescent="0.35">
      <c r="A7" s="2"/>
      <c r="B7" s="23" t="s">
        <v>35</v>
      </c>
      <c r="C7" s="4">
        <v>193.893</v>
      </c>
      <c r="D7" s="4">
        <v>171.00800000000001</v>
      </c>
      <c r="E7" s="24">
        <f>IFERROR(C7-D7,"")</f>
        <v>22.884999999999991</v>
      </c>
      <c r="F7" s="25">
        <f>IFERROR(E7/D7,"")</f>
        <v>0.13382414857784425</v>
      </c>
      <c r="G7" s="2"/>
    </row>
    <row r="8" spans="1:7" ht="16" customHeight="1" x14ac:dyDescent="0.35">
      <c r="A8" s="2"/>
      <c r="B8" s="23" t="s">
        <v>36</v>
      </c>
      <c r="C8" s="4">
        <v>128.52799999999999</v>
      </c>
      <c r="D8" s="4">
        <v>109.43300000000001</v>
      </c>
      <c r="E8" s="24">
        <f>IFERROR(C8-D8,"")</f>
        <v>19.094999999999985</v>
      </c>
      <c r="F8" s="25">
        <f>IFERROR(E8/D8,"")</f>
        <v>0.1744903274149478</v>
      </c>
      <c r="G8" s="2"/>
    </row>
    <row r="9" spans="1:7" ht="16" customHeight="1" x14ac:dyDescent="0.35">
      <c r="A9" s="2"/>
      <c r="B9" s="23" t="s">
        <v>37</v>
      </c>
      <c r="C9" s="4">
        <v>101.83199999999999</v>
      </c>
      <c r="D9" s="4">
        <v>88.135999999999996</v>
      </c>
      <c r="E9" s="24">
        <f>IFERROR(C9-D9,"")</f>
        <v>13.695999999999998</v>
      </c>
      <c r="F9" s="25">
        <f>IFERROR(E9/D9,"")</f>
        <v>0.15539620586366523</v>
      </c>
      <c r="G9" s="2"/>
    </row>
    <row r="10" spans="1:7" ht="4" customHeight="1" x14ac:dyDescent="0.35">
      <c r="A10" s="6"/>
      <c r="B10" s="6"/>
      <c r="C10" s="6"/>
      <c r="D10" s="6"/>
      <c r="E10" s="6"/>
      <c r="F10" s="6"/>
      <c r="G10" s="6"/>
    </row>
    <row r="11" spans="1:7" ht="20" customHeight="1" x14ac:dyDescent="0.35">
      <c r="A11" s="91" t="s">
        <v>38</v>
      </c>
      <c r="B11" s="92"/>
      <c r="C11" s="92"/>
      <c r="D11" s="92"/>
      <c r="E11" s="92"/>
      <c r="F11" s="92"/>
      <c r="G11" s="93"/>
    </row>
    <row r="12" spans="1:7" ht="16" customHeight="1" x14ac:dyDescent="0.35">
      <c r="A12" s="7"/>
      <c r="B12" s="26" t="s">
        <v>34</v>
      </c>
      <c r="C12" s="9">
        <v>27.411999999999999</v>
      </c>
      <c r="D12" s="9">
        <v>24.753</v>
      </c>
      <c r="E12" s="27">
        <f>IFERROR(C12-D12,"")</f>
        <v>2.6589999999999989</v>
      </c>
      <c r="F12" s="25">
        <f>IFERROR(E12/D12,"")</f>
        <v>0.1074213226679594</v>
      </c>
      <c r="G12" s="7"/>
    </row>
    <row r="13" spans="1:7" ht="16" customHeight="1" x14ac:dyDescent="0.35">
      <c r="A13" s="7"/>
      <c r="B13" s="26" t="s">
        <v>35</v>
      </c>
      <c r="C13" s="9">
        <v>17.068999999999999</v>
      </c>
      <c r="D13" s="9">
        <v>14.867000000000001</v>
      </c>
      <c r="E13" s="27">
        <f>IFERROR(C13-D13,"")</f>
        <v>2.2019999999999982</v>
      </c>
      <c r="F13" s="25">
        <f>IFERROR(E13/D13,"")</f>
        <v>0.14811327100289218</v>
      </c>
      <c r="G13" s="7"/>
    </row>
    <row r="14" spans="1:7" ht="16" customHeight="1" x14ac:dyDescent="0.35">
      <c r="A14" s="7"/>
      <c r="B14" s="26" t="s">
        <v>36</v>
      </c>
      <c r="C14" s="9">
        <v>8.02</v>
      </c>
      <c r="D14" s="9">
        <v>7.1269999999999998</v>
      </c>
      <c r="E14" s="27">
        <f>IFERROR(C14-D14,"")</f>
        <v>0.89299999999999979</v>
      </c>
      <c r="F14" s="25">
        <f>IFERROR(E14/D14,"")</f>
        <v>0.12529816191946117</v>
      </c>
      <c r="G14" s="7"/>
    </row>
    <row r="15" spans="1:7" ht="16" customHeight="1" x14ac:dyDescent="0.35">
      <c r="A15" s="7"/>
      <c r="B15" s="26" t="s">
        <v>37</v>
      </c>
      <c r="C15" s="9">
        <v>6.835</v>
      </c>
      <c r="D15" s="9">
        <v>6.9459999999999997</v>
      </c>
      <c r="E15" s="27">
        <f>IFERROR(C15-D15,"")</f>
        <v>-0.11099999999999977</v>
      </c>
      <c r="F15" s="28">
        <f>IFERROR(E15/D15,"")</f>
        <v>-1.5980420385833541E-2</v>
      </c>
      <c r="G15" s="7"/>
    </row>
    <row r="16" spans="1:7" ht="4" customHeight="1" x14ac:dyDescent="0.35">
      <c r="A16" s="6"/>
      <c r="B16" s="6"/>
      <c r="C16" s="6"/>
      <c r="D16" s="6"/>
      <c r="E16" s="6"/>
      <c r="F16" s="6"/>
      <c r="G16" s="6"/>
    </row>
    <row r="17" spans="1:7" ht="20" customHeight="1" x14ac:dyDescent="0.35">
      <c r="A17" s="91" t="s">
        <v>39</v>
      </c>
      <c r="B17" s="92"/>
      <c r="C17" s="92"/>
      <c r="D17" s="92"/>
      <c r="E17" s="92"/>
      <c r="F17" s="92"/>
      <c r="G17" s="93"/>
    </row>
    <row r="18" spans="1:7" ht="16" customHeight="1" x14ac:dyDescent="0.35">
      <c r="A18" s="11"/>
      <c r="B18" s="29" t="s">
        <v>34</v>
      </c>
      <c r="C18" s="13">
        <v>8.790127</v>
      </c>
      <c r="D18" s="13">
        <v>8.2016100000000005</v>
      </c>
      <c r="E18" s="30">
        <f>IFERROR(C18-D18,"")</f>
        <v>0.58851699999999951</v>
      </c>
      <c r="F18" s="25">
        <f>IFERROR(E18/D18,"")</f>
        <v>7.1756277121199308E-2</v>
      </c>
      <c r="G18" s="11"/>
    </row>
    <row r="19" spans="1:7" ht="16" customHeight="1" x14ac:dyDescent="0.35">
      <c r="A19" s="11"/>
      <c r="B19" s="29" t="s">
        <v>35</v>
      </c>
      <c r="C19" s="13">
        <v>6.5554730000000001</v>
      </c>
      <c r="D19" s="13">
        <v>6.1443690000000002</v>
      </c>
      <c r="E19" s="30">
        <f>IFERROR(C19-D19,"")</f>
        <v>0.41110399999999991</v>
      </c>
      <c r="F19" s="25">
        <f>IFERROR(E19/D19,"")</f>
        <v>6.6907439966577512E-2</v>
      </c>
      <c r="G19" s="11"/>
    </row>
    <row r="20" spans="1:7" ht="16" customHeight="1" x14ac:dyDescent="0.35">
      <c r="A20" s="11"/>
      <c r="B20" s="29" t="s">
        <v>36</v>
      </c>
      <c r="C20" s="13">
        <v>3.4143020000000002</v>
      </c>
      <c r="D20" s="13">
        <v>3.0980409999999998</v>
      </c>
      <c r="E20" s="30">
        <f>IFERROR(C20-D20,"")</f>
        <v>0.31626100000000035</v>
      </c>
      <c r="F20" s="25">
        <f>IFERROR(E20/D20,"")</f>
        <v>0.10208418804011966</v>
      </c>
      <c r="G20" s="11"/>
    </row>
    <row r="21" spans="1:7" ht="16" customHeight="1" x14ac:dyDescent="0.35">
      <c r="A21" s="11"/>
      <c r="B21" s="29" t="s">
        <v>37</v>
      </c>
      <c r="C21" s="13">
        <v>3.3282310000000002</v>
      </c>
      <c r="D21" s="13">
        <v>3.7316349999999998</v>
      </c>
      <c r="E21" s="30">
        <f>IFERROR(C21-D21,"")</f>
        <v>-0.40340399999999965</v>
      </c>
      <c r="F21" s="31">
        <f>IFERROR(E21/D21,"")</f>
        <v>-0.10810382044331765</v>
      </c>
      <c r="G21" s="11"/>
    </row>
    <row r="22" spans="1:7" ht="4" customHeight="1" x14ac:dyDescent="0.35">
      <c r="A22" s="6"/>
      <c r="B22" s="6"/>
      <c r="C22" s="6"/>
      <c r="D22" s="6"/>
      <c r="E22" s="6"/>
      <c r="F22" s="6"/>
      <c r="G22" s="6"/>
    </row>
    <row r="23" spans="1:7" ht="20" customHeight="1" x14ac:dyDescent="0.35">
      <c r="A23" s="91" t="s">
        <v>40</v>
      </c>
      <c r="B23" s="92"/>
      <c r="C23" s="92"/>
      <c r="D23" s="92"/>
      <c r="E23" s="92"/>
      <c r="F23" s="92"/>
      <c r="G23" s="93"/>
    </row>
    <row r="24" spans="1:7" ht="16" customHeight="1" x14ac:dyDescent="0.35">
      <c r="A24" s="15"/>
      <c r="B24" s="32" t="s">
        <v>34</v>
      </c>
      <c r="C24" s="17">
        <v>94.192999999999998</v>
      </c>
      <c r="D24" s="17">
        <v>88.820999999999998</v>
      </c>
      <c r="E24" s="33">
        <f>IFERROR(C24-D24,"")</f>
        <v>5.3719999999999999</v>
      </c>
      <c r="F24" s="25">
        <f>IFERROR(E24/D24,"")</f>
        <v>6.0481192510780109E-2</v>
      </c>
      <c r="G24" s="15"/>
    </row>
    <row r="25" spans="1:7" ht="16" customHeight="1" x14ac:dyDescent="0.35">
      <c r="A25" s="15"/>
      <c r="B25" s="32" t="s">
        <v>35</v>
      </c>
      <c r="C25" s="17">
        <v>63.936999999999998</v>
      </c>
      <c r="D25" s="17">
        <v>61.35</v>
      </c>
      <c r="E25" s="33">
        <f>IFERROR(C25-D25,"")</f>
        <v>2.5869999999999962</v>
      </c>
      <c r="F25" s="28">
        <f>IFERROR(E25/D25,"")</f>
        <v>4.2167889160554133E-2</v>
      </c>
      <c r="G25" s="15"/>
    </row>
    <row r="26" spans="1:7" ht="16" customHeight="1" x14ac:dyDescent="0.35">
      <c r="A26" s="15"/>
      <c r="B26" s="32" t="s">
        <v>36</v>
      </c>
      <c r="C26" s="17">
        <v>25.596</v>
      </c>
      <c r="D26" s="17">
        <v>21.248999999999999</v>
      </c>
      <c r="E26" s="33">
        <f>IFERROR(C26-D26,"")</f>
        <v>4.3470000000000013</v>
      </c>
      <c r="F26" s="25">
        <f>IFERROR(E26/D26,"")</f>
        <v>0.20457433290978405</v>
      </c>
      <c r="G26" s="15"/>
    </row>
    <row r="27" spans="1:7" ht="16" customHeight="1" x14ac:dyDescent="0.35">
      <c r="A27" s="15"/>
      <c r="B27" s="32" t="s">
        <v>37</v>
      </c>
      <c r="C27" s="17">
        <v>26.803999999999998</v>
      </c>
      <c r="D27" s="17">
        <v>14.066000000000001</v>
      </c>
      <c r="E27" s="33">
        <f>IFERROR(C27-D27,"")</f>
        <v>12.737999999999998</v>
      </c>
      <c r="F27" s="25">
        <f>IFERROR(E27/D27,"")</f>
        <v>0.90558794255651909</v>
      </c>
      <c r="G27" s="15"/>
    </row>
    <row r="28" spans="1:7" ht="4" customHeight="1" x14ac:dyDescent="0.35">
      <c r="A28" s="6"/>
      <c r="B28" s="6"/>
      <c r="C28" s="6"/>
      <c r="D28" s="6"/>
      <c r="E28" s="6"/>
      <c r="F28" s="6"/>
      <c r="G28" s="6"/>
    </row>
    <row r="29" spans="1:7" ht="20" customHeight="1" x14ac:dyDescent="0.35">
      <c r="A29" s="91" t="s">
        <v>41</v>
      </c>
      <c r="B29" s="92"/>
      <c r="C29" s="92"/>
      <c r="D29" s="92"/>
      <c r="E29" s="92"/>
      <c r="F29" s="92"/>
      <c r="G29" s="93"/>
    </row>
    <row r="30" spans="1:7" ht="16" customHeight="1" x14ac:dyDescent="0.35">
      <c r="A30" s="19"/>
      <c r="B30" s="34" t="s">
        <v>34</v>
      </c>
      <c r="C30" s="21">
        <v>275.23500000000001</v>
      </c>
      <c r="D30" s="21">
        <v>254.453</v>
      </c>
      <c r="E30" s="35">
        <f>IFERROR(C30-D30,"")</f>
        <v>20.782000000000011</v>
      </c>
      <c r="F30" s="25">
        <f>IFERROR(E30/D30,"")</f>
        <v>8.1673236314761505E-2</v>
      </c>
      <c r="G30" s="19"/>
    </row>
    <row r="31" spans="1:7" ht="16" customHeight="1" x14ac:dyDescent="0.35">
      <c r="A31" s="19"/>
      <c r="B31" s="34" t="s">
        <v>35</v>
      </c>
      <c r="C31" s="21">
        <v>35.348999999999997</v>
      </c>
      <c r="D31" s="21">
        <v>32.094999999999999</v>
      </c>
      <c r="E31" s="35">
        <f>IFERROR(C31-D31,"")</f>
        <v>3.2539999999999978</v>
      </c>
      <c r="F31" s="25">
        <f>IFERROR(E31/D31,"")</f>
        <v>0.10138650880199401</v>
      </c>
      <c r="G31" s="19"/>
    </row>
    <row r="32" spans="1:7" ht="16" customHeight="1" x14ac:dyDescent="0.35">
      <c r="A32" s="19"/>
      <c r="B32" s="34" t="s">
        <v>36</v>
      </c>
      <c r="C32" s="21">
        <v>10.382999999999999</v>
      </c>
      <c r="D32" s="21">
        <v>9.2850000000000001</v>
      </c>
      <c r="E32" s="35">
        <f>IFERROR(C32-D32,"")</f>
        <v>1.097999999999999</v>
      </c>
      <c r="F32" s="25">
        <f>IFERROR(E32/D32,"")</f>
        <v>0.1182552504038771</v>
      </c>
      <c r="G32" s="19"/>
    </row>
    <row r="33" spans="1:7" ht="16" customHeight="1" x14ac:dyDescent="0.35">
      <c r="A33" s="19"/>
      <c r="B33" s="34" t="s">
        <v>37</v>
      </c>
      <c r="C33" s="21">
        <v>8.0990000000000002</v>
      </c>
      <c r="D33" s="21">
        <v>7.367</v>
      </c>
      <c r="E33" s="35">
        <f>IFERROR(C33-D33,"")</f>
        <v>0.73200000000000021</v>
      </c>
      <c r="F33" s="25">
        <f>IFERROR(E33/D33,"")</f>
        <v>9.93620198181078E-2</v>
      </c>
      <c r="G33" s="19"/>
    </row>
    <row r="34" spans="1:7" ht="4" customHeight="1" x14ac:dyDescent="0.35">
      <c r="A34" s="6"/>
      <c r="B34" s="6"/>
      <c r="C34" s="6"/>
      <c r="D34" s="6"/>
      <c r="E34" s="6"/>
      <c r="F34" s="6"/>
      <c r="G34" s="6"/>
    </row>
    <row r="35" spans="1:7" x14ac:dyDescent="0.35">
      <c r="A35" s="97" t="s">
        <v>19</v>
      </c>
      <c r="B35" s="95"/>
      <c r="C35" s="95"/>
      <c r="D35" s="95"/>
      <c r="E35" s="95"/>
      <c r="F35" s="95"/>
      <c r="G35" s="95"/>
    </row>
    <row r="200" spans="2:3" x14ac:dyDescent="0.35">
      <c r="B200" t="s">
        <v>20</v>
      </c>
      <c r="C200" t="s">
        <v>42</v>
      </c>
    </row>
    <row r="201" spans="2:3" x14ac:dyDescent="0.35">
      <c r="B201" t="s">
        <v>21</v>
      </c>
      <c r="C201">
        <v>0.14929999999999999</v>
      </c>
    </row>
    <row r="202" spans="2:3" x14ac:dyDescent="0.35">
      <c r="B202" t="s">
        <v>22</v>
      </c>
      <c r="C202">
        <v>0.1074</v>
      </c>
    </row>
    <row r="203" spans="2:3" x14ac:dyDescent="0.35">
      <c r="B203" t="s">
        <v>23</v>
      </c>
      <c r="C203">
        <v>7.1800000000000003E-2</v>
      </c>
    </row>
    <row r="204" spans="2:3" x14ac:dyDescent="0.35">
      <c r="B204" t="s">
        <v>24</v>
      </c>
      <c r="C204">
        <v>6.0499999999999998E-2</v>
      </c>
    </row>
    <row r="205" spans="2:3" x14ac:dyDescent="0.35">
      <c r="B205" t="s">
        <v>25</v>
      </c>
      <c r="C205">
        <v>8.1699999999999995E-2</v>
      </c>
    </row>
  </sheetData>
  <mergeCells count="8">
    <mergeCell ref="A1:G1"/>
    <mergeCell ref="A17:G17"/>
    <mergeCell ref="A35:G35"/>
    <mergeCell ref="A2:G2"/>
    <mergeCell ref="A29:G29"/>
    <mergeCell ref="A11:G11"/>
    <mergeCell ref="A5:G5"/>
    <mergeCell ref="A23:G2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5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M1"/>
    </sheetView>
  </sheetViews>
  <sheetFormatPr defaultRowHeight="14.5" x14ac:dyDescent="0.35"/>
  <cols>
    <col min="1" max="1" width="3" customWidth="1"/>
    <col min="2" max="2" width="8" customWidth="1"/>
    <col min="3" max="4" width="22" customWidth="1"/>
    <col min="5" max="5" width="8" customWidth="1"/>
    <col min="6" max="9" width="14" customWidth="1"/>
    <col min="10" max="10" width="13" customWidth="1"/>
    <col min="11" max="12" width="11" customWidth="1"/>
    <col min="13" max="13" width="13" customWidth="1"/>
  </cols>
  <sheetData>
    <row r="1" spans="1:13" ht="32" customHeight="1" x14ac:dyDescent="0.35">
      <c r="A1" s="96" t="s">
        <v>43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3" ht="18" customHeight="1" x14ac:dyDescent="0.35">
      <c r="A2" s="94" t="s">
        <v>44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3" ht="6" customHeight="1" x14ac:dyDescent="0.35"/>
    <row r="4" spans="1:13" ht="22" customHeight="1" x14ac:dyDescent="0.35">
      <c r="A4" s="1"/>
      <c r="B4" s="1" t="s">
        <v>45</v>
      </c>
      <c r="C4" s="1" t="s">
        <v>20</v>
      </c>
      <c r="D4" s="1" t="s">
        <v>46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47</v>
      </c>
    </row>
    <row r="5" spans="1:13" ht="20" customHeight="1" x14ac:dyDescent="0.35">
      <c r="A5" s="2"/>
      <c r="B5" s="3" t="s">
        <v>48</v>
      </c>
      <c r="C5" s="23" t="s">
        <v>21</v>
      </c>
      <c r="D5" s="2" t="s">
        <v>49</v>
      </c>
      <c r="E5" s="36" t="s">
        <v>50</v>
      </c>
      <c r="F5" s="4">
        <v>281.72399999999999</v>
      </c>
      <c r="G5" s="4">
        <v>193.893</v>
      </c>
      <c r="H5" s="4">
        <v>128.52799999999999</v>
      </c>
      <c r="I5" s="4">
        <v>101.83199999999999</v>
      </c>
      <c r="J5" s="5">
        <f>IFERROR(G5/F5,"")</f>
        <v>0.68823742386165188</v>
      </c>
      <c r="K5" s="5">
        <f>IFERROR(H5/F5,"")</f>
        <v>0.45621956240859846</v>
      </c>
      <c r="L5" s="5">
        <f>IFERROR(I5/F5,"")</f>
        <v>0.36146015248967073</v>
      </c>
      <c r="M5" s="37">
        <v>0.14929999999999999</v>
      </c>
    </row>
    <row r="6" spans="1:13" ht="20" customHeight="1" x14ac:dyDescent="0.35">
      <c r="A6" s="7"/>
      <c r="B6" s="8" t="s">
        <v>51</v>
      </c>
      <c r="C6" s="26" t="s">
        <v>22</v>
      </c>
      <c r="D6" s="7" t="s">
        <v>52</v>
      </c>
      <c r="E6" s="38" t="s">
        <v>50</v>
      </c>
      <c r="F6" s="9">
        <v>27.411999999999999</v>
      </c>
      <c r="G6" s="9">
        <v>17.068999999999999</v>
      </c>
      <c r="H6" s="9">
        <v>8.02</v>
      </c>
      <c r="I6" s="9">
        <v>6.835</v>
      </c>
      <c r="J6" s="10">
        <f>IFERROR(G6/F6,"")</f>
        <v>0.62268349627900188</v>
      </c>
      <c r="K6" s="10">
        <f>IFERROR(H6/F6,"")</f>
        <v>0.29257259594338247</v>
      </c>
      <c r="L6" s="10">
        <f>IFERROR(I6/F6,"")</f>
        <v>0.24934335327593754</v>
      </c>
      <c r="M6" s="39">
        <v>0.1074</v>
      </c>
    </row>
    <row r="7" spans="1:13" ht="20" customHeight="1" x14ac:dyDescent="0.35">
      <c r="A7" s="11"/>
      <c r="B7" s="12" t="s">
        <v>53</v>
      </c>
      <c r="C7" s="29" t="s">
        <v>23</v>
      </c>
      <c r="D7" s="11" t="s">
        <v>54</v>
      </c>
      <c r="E7" s="40" t="s">
        <v>50</v>
      </c>
      <c r="F7" s="13">
        <v>8.790127</v>
      </c>
      <c r="G7" s="13">
        <v>6.5554730000000001</v>
      </c>
      <c r="H7" s="13">
        <v>3.4143020000000002</v>
      </c>
      <c r="I7" s="13">
        <v>3.3282310000000002</v>
      </c>
      <c r="J7" s="14">
        <f>IFERROR(G7/F7,"")</f>
        <v>0.74577682438490367</v>
      </c>
      <c r="K7" s="14">
        <f>IFERROR(H7/F7,"")</f>
        <v>0.38842464960972695</v>
      </c>
      <c r="L7" s="14">
        <f>IFERROR(I7/F7,"")</f>
        <v>0.37863286844433536</v>
      </c>
      <c r="M7" s="41">
        <v>7.1800000000000003E-2</v>
      </c>
    </row>
    <row r="8" spans="1:13" ht="20" customHeight="1" x14ac:dyDescent="0.35">
      <c r="A8" s="15"/>
      <c r="B8" s="16" t="s">
        <v>55</v>
      </c>
      <c r="C8" s="32" t="s">
        <v>24</v>
      </c>
      <c r="D8" s="15" t="s">
        <v>56</v>
      </c>
      <c r="E8" s="42" t="s">
        <v>50</v>
      </c>
      <c r="F8" s="17">
        <v>94.192999999999998</v>
      </c>
      <c r="G8" s="17">
        <v>63.936999999999998</v>
      </c>
      <c r="H8" s="17">
        <v>25.596</v>
      </c>
      <c r="I8" s="17">
        <v>26.803999999999998</v>
      </c>
      <c r="J8" s="18">
        <f>IFERROR(G8/F8,"")</f>
        <v>0.67878717102120112</v>
      </c>
      <c r="K8" s="18">
        <f>IFERROR(H8/F8,"")</f>
        <v>0.27173993821196907</v>
      </c>
      <c r="L8" s="18">
        <f>IFERROR(I8/F8,"")</f>
        <v>0.2845646704107524</v>
      </c>
      <c r="M8" s="43">
        <v>6.0499999999999998E-2</v>
      </c>
    </row>
    <row r="9" spans="1:13" ht="20" customHeight="1" x14ac:dyDescent="0.35">
      <c r="A9" s="19"/>
      <c r="B9" s="20" t="s">
        <v>57</v>
      </c>
      <c r="C9" s="34" t="s">
        <v>25</v>
      </c>
      <c r="D9" s="19" t="s">
        <v>58</v>
      </c>
      <c r="E9" s="44" t="s">
        <v>50</v>
      </c>
      <c r="F9" s="21">
        <v>275.23500000000001</v>
      </c>
      <c r="G9" s="21">
        <v>35.348999999999997</v>
      </c>
      <c r="H9" s="21">
        <v>10.382999999999999</v>
      </c>
      <c r="I9" s="21">
        <v>8.0990000000000002</v>
      </c>
      <c r="J9" s="22">
        <f>IFERROR(G9/F9,"")</f>
        <v>0.12843206714262356</v>
      </c>
      <c r="K9" s="22">
        <f>IFERROR(H9/F9,"")</f>
        <v>3.7724126655403561E-2</v>
      </c>
      <c r="L9" s="22">
        <f>IFERROR(I9/F9,"")</f>
        <v>2.9425763438516175E-2</v>
      </c>
      <c r="M9" s="45">
        <v>8.1699999999999995E-2</v>
      </c>
    </row>
    <row r="10" spans="1:13" ht="4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2" spans="1:13" x14ac:dyDescent="0.35">
      <c r="A12" s="97" t="s">
        <v>19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</row>
    <row r="200" spans="2:5" x14ac:dyDescent="0.35">
      <c r="B200" t="s">
        <v>20</v>
      </c>
      <c r="C200" t="s">
        <v>7</v>
      </c>
      <c r="D200" t="s">
        <v>8</v>
      </c>
      <c r="E200" t="s">
        <v>9</v>
      </c>
    </row>
    <row r="201" spans="2:5" x14ac:dyDescent="0.35">
      <c r="B201" t="s">
        <v>21</v>
      </c>
      <c r="C201">
        <v>0.68820000000000003</v>
      </c>
      <c r="D201">
        <v>0.45619999999999999</v>
      </c>
      <c r="E201">
        <v>0.36149999999999999</v>
      </c>
    </row>
    <row r="202" spans="2:5" x14ac:dyDescent="0.35">
      <c r="B202" t="s">
        <v>22</v>
      </c>
      <c r="C202">
        <v>0.62270000000000003</v>
      </c>
      <c r="D202">
        <v>0.29260000000000003</v>
      </c>
      <c r="E202">
        <v>0.24929999999999999</v>
      </c>
    </row>
    <row r="203" spans="2:5" x14ac:dyDescent="0.35">
      <c r="B203" t="s">
        <v>23</v>
      </c>
      <c r="C203">
        <v>0.74580000000000002</v>
      </c>
      <c r="D203">
        <v>0.38840000000000002</v>
      </c>
      <c r="E203">
        <v>0.37859999999999999</v>
      </c>
    </row>
    <row r="204" spans="2:5" x14ac:dyDescent="0.35">
      <c r="B204" t="s">
        <v>24</v>
      </c>
      <c r="C204">
        <v>0.67879999999999996</v>
      </c>
      <c r="D204">
        <v>0.2717</v>
      </c>
      <c r="E204">
        <v>0.28460000000000002</v>
      </c>
    </row>
    <row r="205" spans="2:5" x14ac:dyDescent="0.35">
      <c r="B205" t="s">
        <v>25</v>
      </c>
      <c r="C205">
        <v>0.12839999999999999</v>
      </c>
      <c r="D205">
        <v>3.7699999999999997E-2</v>
      </c>
      <c r="E205">
        <v>2.9399999999999999E-2</v>
      </c>
    </row>
  </sheetData>
  <mergeCells count="3">
    <mergeCell ref="A2:M2"/>
    <mergeCell ref="A1:M1"/>
    <mergeCell ref="A12:M1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5"/>
  <sheetViews>
    <sheetView showGridLines="0" workbookViewId="0">
      <pane xSplit="1" ySplit="4" topLeftCell="B84" activePane="bottomRight" state="frozen"/>
      <selection pane="topRight"/>
      <selection pane="bottomLeft"/>
      <selection pane="bottomRight" activeCell="B72" sqref="B72"/>
    </sheetView>
  </sheetViews>
  <sheetFormatPr defaultRowHeight="14.5" x14ac:dyDescent="0.35"/>
  <cols>
    <col min="1" max="1" width="3" customWidth="1"/>
    <col min="2" max="2" width="36" customWidth="1"/>
    <col min="3" max="5" width="16" customWidth="1"/>
    <col min="6" max="6" width="3" customWidth="1"/>
  </cols>
  <sheetData>
    <row r="1" spans="1:6" ht="32" customHeight="1" x14ac:dyDescent="0.35">
      <c r="A1" s="96" t="s">
        <v>59</v>
      </c>
      <c r="B1" s="95"/>
      <c r="C1" s="95"/>
      <c r="D1" s="95"/>
      <c r="E1" s="95"/>
      <c r="F1" s="95"/>
    </row>
    <row r="2" spans="1:6" ht="18" customHeight="1" x14ac:dyDescent="0.35">
      <c r="A2" s="94" t="s">
        <v>60</v>
      </c>
      <c r="B2" s="95"/>
      <c r="C2" s="95"/>
      <c r="D2" s="95"/>
      <c r="E2" s="95"/>
      <c r="F2" s="95"/>
    </row>
    <row r="3" spans="1:6" ht="6" customHeight="1" x14ac:dyDescent="0.35"/>
    <row r="4" spans="1:6" ht="20" customHeight="1" x14ac:dyDescent="0.35">
      <c r="A4" s="91" t="s">
        <v>10</v>
      </c>
      <c r="B4" s="92"/>
      <c r="C4" s="92"/>
      <c r="D4" s="92"/>
      <c r="E4" s="92"/>
      <c r="F4" s="93"/>
    </row>
    <row r="5" spans="1:6" ht="20" customHeight="1" x14ac:dyDescent="0.35">
      <c r="A5" s="1"/>
      <c r="B5" s="1" t="s">
        <v>61</v>
      </c>
      <c r="C5" s="1" t="s">
        <v>62</v>
      </c>
      <c r="D5" s="1" t="s">
        <v>63</v>
      </c>
      <c r="E5" s="1" t="s">
        <v>64</v>
      </c>
      <c r="F5" s="1"/>
    </row>
    <row r="6" spans="1:6" ht="16" customHeight="1" x14ac:dyDescent="0.35">
      <c r="A6" s="98" t="s">
        <v>65</v>
      </c>
      <c r="B6" s="92"/>
      <c r="C6" s="92"/>
      <c r="D6" s="92"/>
      <c r="E6" s="92"/>
      <c r="F6" s="93"/>
    </row>
    <row r="7" spans="1:6" ht="16" customHeight="1" x14ac:dyDescent="0.35">
      <c r="A7" s="2"/>
      <c r="B7" s="46" t="s">
        <v>66</v>
      </c>
      <c r="C7" s="4">
        <v>281.72399999999999</v>
      </c>
      <c r="D7" s="4">
        <v>281.72399999999999</v>
      </c>
      <c r="E7" s="4">
        <v>281.72399999999999</v>
      </c>
      <c r="F7" s="2"/>
    </row>
    <row r="8" spans="1:6" ht="16" customHeight="1" x14ac:dyDescent="0.35">
      <c r="A8" s="2"/>
      <c r="B8" s="46" t="s">
        <v>67</v>
      </c>
      <c r="C8" s="47">
        <v>0.68820000000000003</v>
      </c>
      <c r="D8" s="47">
        <v>0.68820000000000003</v>
      </c>
      <c r="E8" s="47">
        <v>0.68820000000000003</v>
      </c>
      <c r="F8" s="2"/>
    </row>
    <row r="9" spans="1:6" ht="16" customHeight="1" x14ac:dyDescent="0.35">
      <c r="A9" s="2"/>
      <c r="B9" s="46" t="s">
        <v>68</v>
      </c>
      <c r="C9" s="47">
        <v>0.45619999999999999</v>
      </c>
      <c r="D9" s="47">
        <v>0.45619999999999999</v>
      </c>
      <c r="E9" s="47">
        <v>0.45619999999999999</v>
      </c>
      <c r="F9" s="2"/>
    </row>
    <row r="10" spans="1:6" ht="16" customHeight="1" x14ac:dyDescent="0.35">
      <c r="A10" s="2"/>
      <c r="B10" s="46" t="s">
        <v>69</v>
      </c>
      <c r="C10" s="47">
        <v>0.36149999999999999</v>
      </c>
      <c r="D10" s="47">
        <v>0.36149999999999999</v>
      </c>
      <c r="E10" s="47">
        <v>0.36149999999999999</v>
      </c>
      <c r="F10" s="2"/>
    </row>
    <row r="11" spans="1:6" ht="16" customHeight="1" x14ac:dyDescent="0.35">
      <c r="A11" s="2"/>
      <c r="B11" s="46" t="s">
        <v>70</v>
      </c>
      <c r="C11" s="47">
        <v>0.14929999999999999</v>
      </c>
      <c r="D11" s="47">
        <v>0.14929999999999999</v>
      </c>
      <c r="E11" s="47">
        <v>0.14929999999999999</v>
      </c>
      <c r="F11" s="2"/>
    </row>
    <row r="12" spans="1:6" ht="16" customHeight="1" x14ac:dyDescent="0.35">
      <c r="A12" s="98" t="s">
        <v>71</v>
      </c>
      <c r="B12" s="92"/>
      <c r="C12" s="92"/>
      <c r="D12" s="92"/>
      <c r="E12" s="92"/>
      <c r="F12" s="93"/>
    </row>
    <row r="13" spans="1:6" ht="16" customHeight="1" x14ac:dyDescent="0.35">
      <c r="A13" s="2"/>
      <c r="B13" s="46" t="s">
        <v>72</v>
      </c>
      <c r="C13" s="37">
        <v>0.05</v>
      </c>
      <c r="D13" s="37">
        <v>0</v>
      </c>
      <c r="E13" s="37">
        <v>-0.05</v>
      </c>
      <c r="F13" s="2"/>
    </row>
    <row r="14" spans="1:6" ht="16" customHeight="1" x14ac:dyDescent="0.35">
      <c r="A14" s="2"/>
      <c r="B14" s="46" t="s">
        <v>73</v>
      </c>
      <c r="C14" s="37">
        <v>0.02</v>
      </c>
      <c r="D14" s="37">
        <v>0</v>
      </c>
      <c r="E14" s="37">
        <v>-0.03</v>
      </c>
      <c r="F14" s="2"/>
    </row>
    <row r="15" spans="1:6" ht="16" customHeight="1" x14ac:dyDescent="0.35">
      <c r="A15" s="2"/>
      <c r="B15" s="46" t="s">
        <v>74</v>
      </c>
      <c r="C15" s="37">
        <v>0.02</v>
      </c>
      <c r="D15" s="37">
        <v>0</v>
      </c>
      <c r="E15" s="37">
        <v>-0.03</v>
      </c>
      <c r="F15" s="2"/>
    </row>
    <row r="16" spans="1:6" ht="16" customHeight="1" x14ac:dyDescent="0.35">
      <c r="A16" s="98" t="s">
        <v>75</v>
      </c>
      <c r="B16" s="92"/>
      <c r="C16" s="92"/>
      <c r="D16" s="92"/>
      <c r="E16" s="92"/>
      <c r="F16" s="93"/>
    </row>
    <row r="17" spans="1:6" ht="16" customHeight="1" x14ac:dyDescent="0.35">
      <c r="A17" s="2"/>
      <c r="B17" s="46" t="s">
        <v>76</v>
      </c>
      <c r="C17" s="48">
        <f>IFERROR(C11+C13,"")</f>
        <v>0.19929999999999998</v>
      </c>
      <c r="D17" s="48">
        <f>IFERROR(D11+D13,"")</f>
        <v>0.14929999999999999</v>
      </c>
      <c r="E17" s="48">
        <f>IFERROR(E11+E13,"")</f>
        <v>9.9299999999999986E-2</v>
      </c>
      <c r="F17" s="2"/>
    </row>
    <row r="18" spans="1:6" ht="16" customHeight="1" x14ac:dyDescent="0.35">
      <c r="A18" s="2"/>
      <c r="B18" s="23" t="s">
        <v>77</v>
      </c>
      <c r="C18" s="49">
        <f>IFERROR(C7*(1+C17),"")</f>
        <v>337.87159320000001</v>
      </c>
      <c r="D18" s="49">
        <f>IFERROR(D7*(1+D17),"")</f>
        <v>323.78539319999999</v>
      </c>
      <c r="E18" s="49">
        <f>IFERROR(E7*(1+E17),"")</f>
        <v>309.69919319999997</v>
      </c>
      <c r="F18" s="2"/>
    </row>
    <row r="19" spans="1:6" ht="16" customHeight="1" x14ac:dyDescent="0.35">
      <c r="A19" s="2"/>
      <c r="B19" s="46" t="s">
        <v>78</v>
      </c>
      <c r="C19" s="5">
        <f>IFERROR(C8+C14,"")</f>
        <v>0.70820000000000005</v>
      </c>
      <c r="D19" s="5">
        <f>IFERROR(D8+D14,"")</f>
        <v>0.68820000000000003</v>
      </c>
      <c r="E19" s="5">
        <f>IFERROR(E8+E14,"")</f>
        <v>0.65820000000000001</v>
      </c>
      <c r="F19" s="2"/>
    </row>
    <row r="20" spans="1:6" ht="16" customHeight="1" x14ac:dyDescent="0.35">
      <c r="A20" s="2"/>
      <c r="B20" s="46" t="s">
        <v>79</v>
      </c>
      <c r="C20" s="24">
        <f>IFERROR(C18*C19,"")</f>
        <v>239.28066230424002</v>
      </c>
      <c r="D20" s="24">
        <f>IFERROR(D18*D19,"")</f>
        <v>222.82910760024001</v>
      </c>
      <c r="E20" s="24">
        <f>IFERROR(E18*E19,"")</f>
        <v>203.84400896423998</v>
      </c>
      <c r="F20" s="2"/>
    </row>
    <row r="21" spans="1:6" ht="16" customHeight="1" x14ac:dyDescent="0.35">
      <c r="A21" s="2"/>
      <c r="B21" s="46" t="s">
        <v>80</v>
      </c>
      <c r="C21" s="5">
        <f>IFERROR(C9+C15,"")</f>
        <v>0.47620000000000001</v>
      </c>
      <c r="D21" s="5">
        <f>IFERROR(D9+D15,"")</f>
        <v>0.45619999999999999</v>
      </c>
      <c r="E21" s="5">
        <f>IFERROR(E9+E15,"")</f>
        <v>0.42620000000000002</v>
      </c>
      <c r="F21" s="2"/>
    </row>
    <row r="22" spans="1:6" ht="16" customHeight="1" x14ac:dyDescent="0.35">
      <c r="A22" s="2"/>
      <c r="B22" s="46" t="s">
        <v>81</v>
      </c>
      <c r="C22" s="24">
        <f>IFERROR(C18*C21,"")</f>
        <v>160.89445268183999</v>
      </c>
      <c r="D22" s="24">
        <f>IFERROR(D18*D21,"")</f>
        <v>147.71089637783999</v>
      </c>
      <c r="E22" s="24">
        <f>IFERROR(E18*E21,"")</f>
        <v>131.99379614183999</v>
      </c>
      <c r="F22" s="2"/>
    </row>
    <row r="23" spans="1:6" ht="16" customHeight="1" x14ac:dyDescent="0.35">
      <c r="A23" s="2"/>
      <c r="B23" s="46" t="s">
        <v>82</v>
      </c>
      <c r="C23" s="24">
        <f>IFERROR(C18*C10,"")</f>
        <v>122.1405809418</v>
      </c>
      <c r="D23" s="24">
        <f>IFERROR(D18*D10,"")</f>
        <v>117.0484196418</v>
      </c>
      <c r="E23" s="24">
        <f>IFERROR(E18*E10,"")</f>
        <v>111.95625834179998</v>
      </c>
      <c r="F23" s="2"/>
    </row>
    <row r="24" spans="1:6" ht="4" customHeight="1" x14ac:dyDescent="0.35">
      <c r="A24" s="6"/>
      <c r="B24" s="6"/>
      <c r="C24" s="6"/>
      <c r="D24" s="6"/>
      <c r="E24" s="6"/>
      <c r="F24" s="6"/>
    </row>
    <row r="25" spans="1:6" ht="20" customHeight="1" x14ac:dyDescent="0.35">
      <c r="A25" s="91" t="s">
        <v>15</v>
      </c>
      <c r="B25" s="92"/>
      <c r="C25" s="92"/>
      <c r="D25" s="92"/>
      <c r="E25" s="92"/>
      <c r="F25" s="93"/>
    </row>
    <row r="26" spans="1:6" ht="20" customHeight="1" x14ac:dyDescent="0.35">
      <c r="A26" s="1"/>
      <c r="B26" s="1" t="s">
        <v>61</v>
      </c>
      <c r="C26" s="1" t="s">
        <v>62</v>
      </c>
      <c r="D26" s="1" t="s">
        <v>63</v>
      </c>
      <c r="E26" s="1" t="s">
        <v>64</v>
      </c>
      <c r="F26" s="1"/>
    </row>
    <row r="27" spans="1:6" ht="16" customHeight="1" x14ac:dyDescent="0.35">
      <c r="A27" s="98" t="s">
        <v>65</v>
      </c>
      <c r="B27" s="92"/>
      <c r="C27" s="92"/>
      <c r="D27" s="92"/>
      <c r="E27" s="92"/>
      <c r="F27" s="93"/>
    </row>
    <row r="28" spans="1:6" ht="16" customHeight="1" x14ac:dyDescent="0.35">
      <c r="A28" s="7"/>
      <c r="B28" s="50" t="s">
        <v>66</v>
      </c>
      <c r="C28" s="9">
        <v>27.411999999999999</v>
      </c>
      <c r="D28" s="9">
        <v>27.411999999999999</v>
      </c>
      <c r="E28" s="9">
        <v>27.411999999999999</v>
      </c>
      <c r="F28" s="7"/>
    </row>
    <row r="29" spans="1:6" ht="16" customHeight="1" x14ac:dyDescent="0.35">
      <c r="A29" s="7"/>
      <c r="B29" s="50" t="s">
        <v>67</v>
      </c>
      <c r="C29" s="51">
        <v>0.62270000000000003</v>
      </c>
      <c r="D29" s="51">
        <v>0.62270000000000003</v>
      </c>
      <c r="E29" s="51">
        <v>0.62270000000000003</v>
      </c>
      <c r="F29" s="7"/>
    </row>
    <row r="30" spans="1:6" ht="16" customHeight="1" x14ac:dyDescent="0.35">
      <c r="A30" s="7"/>
      <c r="B30" s="50" t="s">
        <v>68</v>
      </c>
      <c r="C30" s="51">
        <v>0.29260000000000003</v>
      </c>
      <c r="D30" s="51">
        <v>0.29260000000000003</v>
      </c>
      <c r="E30" s="51">
        <v>0.29260000000000003</v>
      </c>
      <c r="F30" s="7"/>
    </row>
    <row r="31" spans="1:6" ht="16" customHeight="1" x14ac:dyDescent="0.35">
      <c r="A31" s="7"/>
      <c r="B31" s="50" t="s">
        <v>69</v>
      </c>
      <c r="C31" s="51">
        <v>0.24929999999999999</v>
      </c>
      <c r="D31" s="51">
        <v>0.24929999999999999</v>
      </c>
      <c r="E31" s="51">
        <v>0.24929999999999999</v>
      </c>
      <c r="F31" s="7"/>
    </row>
    <row r="32" spans="1:6" ht="16" customHeight="1" x14ac:dyDescent="0.35">
      <c r="A32" s="7"/>
      <c r="B32" s="50" t="s">
        <v>70</v>
      </c>
      <c r="C32" s="51">
        <v>0.1074</v>
      </c>
      <c r="D32" s="51">
        <v>0.1074</v>
      </c>
      <c r="E32" s="51">
        <v>0.1074</v>
      </c>
      <c r="F32" s="7"/>
    </row>
    <row r="33" spans="1:6" ht="16" customHeight="1" x14ac:dyDescent="0.35">
      <c r="A33" s="98" t="s">
        <v>71</v>
      </c>
      <c r="B33" s="92"/>
      <c r="C33" s="92"/>
      <c r="D33" s="92"/>
      <c r="E33" s="92"/>
      <c r="F33" s="93"/>
    </row>
    <row r="34" spans="1:6" ht="16" customHeight="1" x14ac:dyDescent="0.35">
      <c r="A34" s="7"/>
      <c r="B34" s="50" t="s">
        <v>72</v>
      </c>
      <c r="C34" s="39">
        <v>0.05</v>
      </c>
      <c r="D34" s="39">
        <v>0</v>
      </c>
      <c r="E34" s="39">
        <v>-0.05</v>
      </c>
      <c r="F34" s="7"/>
    </row>
    <row r="35" spans="1:6" ht="16" customHeight="1" x14ac:dyDescent="0.35">
      <c r="A35" s="7"/>
      <c r="B35" s="50" t="s">
        <v>73</v>
      </c>
      <c r="C35" s="39">
        <v>0.02</v>
      </c>
      <c r="D35" s="39">
        <v>0</v>
      </c>
      <c r="E35" s="39">
        <v>-0.03</v>
      </c>
      <c r="F35" s="7"/>
    </row>
    <row r="36" spans="1:6" ht="16" customHeight="1" x14ac:dyDescent="0.35">
      <c r="A36" s="7"/>
      <c r="B36" s="50" t="s">
        <v>74</v>
      </c>
      <c r="C36" s="39">
        <v>0.02</v>
      </c>
      <c r="D36" s="39">
        <v>0</v>
      </c>
      <c r="E36" s="39">
        <v>-0.03</v>
      </c>
      <c r="F36" s="7"/>
    </row>
    <row r="37" spans="1:6" ht="16" customHeight="1" x14ac:dyDescent="0.35">
      <c r="A37" s="98" t="s">
        <v>75</v>
      </c>
      <c r="B37" s="92"/>
      <c r="C37" s="92"/>
      <c r="D37" s="92"/>
      <c r="E37" s="92"/>
      <c r="F37" s="93"/>
    </row>
    <row r="38" spans="1:6" ht="16" customHeight="1" x14ac:dyDescent="0.35">
      <c r="A38" s="7"/>
      <c r="B38" s="50" t="s">
        <v>76</v>
      </c>
      <c r="C38" s="52">
        <f>IFERROR(C32+C34,"")</f>
        <v>0.15739999999999998</v>
      </c>
      <c r="D38" s="52">
        <f>IFERROR(D32+D34,"")</f>
        <v>0.1074</v>
      </c>
      <c r="E38" s="52">
        <f>IFERROR(E32+E34,"")</f>
        <v>5.7399999999999993E-2</v>
      </c>
      <c r="F38" s="7"/>
    </row>
    <row r="39" spans="1:6" ht="16" customHeight="1" x14ac:dyDescent="0.35">
      <c r="A39" s="7"/>
      <c r="B39" s="26" t="s">
        <v>77</v>
      </c>
      <c r="C39" s="53">
        <f>IFERROR(C28*(1+C38),"")</f>
        <v>31.7266488</v>
      </c>
      <c r="D39" s="53">
        <f>IFERROR(D28*(1+D38),"")</f>
        <v>30.356048799999996</v>
      </c>
      <c r="E39" s="53">
        <f>IFERROR(E28*(1+E38),"")</f>
        <v>28.985448799999997</v>
      </c>
      <c r="F39" s="7"/>
    </row>
    <row r="40" spans="1:6" ht="16" customHeight="1" x14ac:dyDescent="0.35">
      <c r="A40" s="7"/>
      <c r="B40" s="50" t="s">
        <v>78</v>
      </c>
      <c r="C40" s="10">
        <f>IFERROR(C29+C35,"")</f>
        <v>0.64270000000000005</v>
      </c>
      <c r="D40" s="10">
        <f>IFERROR(D29+D35,"")</f>
        <v>0.62270000000000003</v>
      </c>
      <c r="E40" s="10">
        <f>IFERROR(E29+E35,"")</f>
        <v>0.5927</v>
      </c>
      <c r="F40" s="7"/>
    </row>
    <row r="41" spans="1:6" ht="16" customHeight="1" x14ac:dyDescent="0.35">
      <c r="A41" s="7"/>
      <c r="B41" s="50" t="s">
        <v>79</v>
      </c>
      <c r="C41" s="27">
        <f>IFERROR(C39*C40,"")</f>
        <v>20.39071718376</v>
      </c>
      <c r="D41" s="27">
        <f>IFERROR(D39*D40,"")</f>
        <v>18.902711587759999</v>
      </c>
      <c r="E41" s="27">
        <f>IFERROR(E39*E40,"")</f>
        <v>17.179675503759999</v>
      </c>
      <c r="F41" s="7"/>
    </row>
    <row r="42" spans="1:6" ht="16" customHeight="1" x14ac:dyDescent="0.35">
      <c r="A42" s="7"/>
      <c r="B42" s="50" t="s">
        <v>80</v>
      </c>
      <c r="C42" s="10">
        <f>IFERROR(C30+C36,"")</f>
        <v>0.31260000000000004</v>
      </c>
      <c r="D42" s="10">
        <f>IFERROR(D30+D36,"")</f>
        <v>0.29260000000000003</v>
      </c>
      <c r="E42" s="10">
        <f>IFERROR(E30+E36,"")</f>
        <v>0.26260000000000006</v>
      </c>
      <c r="F42" s="7"/>
    </row>
    <row r="43" spans="1:6" ht="16" customHeight="1" x14ac:dyDescent="0.35">
      <c r="A43" s="7"/>
      <c r="B43" s="50" t="s">
        <v>81</v>
      </c>
      <c r="C43" s="27">
        <f>IFERROR(C39*C42,"")</f>
        <v>9.9177504148800004</v>
      </c>
      <c r="D43" s="27">
        <f>IFERROR(D39*D42,"")</f>
        <v>8.8821798788800006</v>
      </c>
      <c r="E43" s="27">
        <f>IFERROR(E39*E42,"")</f>
        <v>7.6115788548800012</v>
      </c>
      <c r="F43" s="7"/>
    </row>
    <row r="44" spans="1:6" ht="16" customHeight="1" x14ac:dyDescent="0.35">
      <c r="A44" s="7"/>
      <c r="B44" s="50" t="s">
        <v>82</v>
      </c>
      <c r="C44" s="27">
        <f>IFERROR(C39*C31,"")</f>
        <v>7.9094535458399999</v>
      </c>
      <c r="D44" s="27">
        <f>IFERROR(D39*D31,"")</f>
        <v>7.5677629658399992</v>
      </c>
      <c r="E44" s="27">
        <f>IFERROR(E39*E31,"")</f>
        <v>7.2260723858399993</v>
      </c>
      <c r="F44" s="7"/>
    </row>
    <row r="45" spans="1:6" ht="4" customHeight="1" x14ac:dyDescent="0.35">
      <c r="A45" s="6"/>
      <c r="B45" s="6"/>
      <c r="C45" s="6"/>
      <c r="D45" s="6"/>
      <c r="E45" s="6"/>
      <c r="F45" s="6"/>
    </row>
    <row r="46" spans="1:6" ht="20" customHeight="1" x14ac:dyDescent="0.35">
      <c r="A46" s="91" t="s">
        <v>16</v>
      </c>
      <c r="B46" s="92"/>
      <c r="C46" s="92"/>
      <c r="D46" s="92"/>
      <c r="E46" s="92"/>
      <c r="F46" s="93"/>
    </row>
    <row r="47" spans="1:6" ht="20" customHeight="1" x14ac:dyDescent="0.35">
      <c r="A47" s="1"/>
      <c r="B47" s="1" t="s">
        <v>61</v>
      </c>
      <c r="C47" s="1" t="s">
        <v>62</v>
      </c>
      <c r="D47" s="1" t="s">
        <v>63</v>
      </c>
      <c r="E47" s="1" t="s">
        <v>64</v>
      </c>
      <c r="F47" s="1"/>
    </row>
    <row r="48" spans="1:6" ht="16" customHeight="1" x14ac:dyDescent="0.35">
      <c r="A48" s="98" t="s">
        <v>65</v>
      </c>
      <c r="B48" s="92"/>
      <c r="C48" s="92"/>
      <c r="D48" s="92"/>
      <c r="E48" s="92"/>
      <c r="F48" s="93"/>
    </row>
    <row r="49" spans="1:6" ht="16" customHeight="1" x14ac:dyDescent="0.35">
      <c r="A49" s="11"/>
      <c r="B49" s="54" t="s">
        <v>66</v>
      </c>
      <c r="C49" s="13">
        <v>8.790127</v>
      </c>
      <c r="D49" s="13">
        <v>8.790127</v>
      </c>
      <c r="E49" s="13">
        <v>8.790127</v>
      </c>
      <c r="F49" s="11"/>
    </row>
    <row r="50" spans="1:6" ht="16" customHeight="1" x14ac:dyDescent="0.35">
      <c r="A50" s="11"/>
      <c r="B50" s="54" t="s">
        <v>67</v>
      </c>
      <c r="C50" s="55">
        <v>0.74580000000000002</v>
      </c>
      <c r="D50" s="55">
        <v>0.74580000000000002</v>
      </c>
      <c r="E50" s="55">
        <v>0.74580000000000002</v>
      </c>
      <c r="F50" s="11"/>
    </row>
    <row r="51" spans="1:6" ht="16" customHeight="1" x14ac:dyDescent="0.35">
      <c r="A51" s="11"/>
      <c r="B51" s="54" t="s">
        <v>68</v>
      </c>
      <c r="C51" s="55">
        <v>0.38840000000000002</v>
      </c>
      <c r="D51" s="55">
        <v>0.38840000000000002</v>
      </c>
      <c r="E51" s="55">
        <v>0.38840000000000002</v>
      </c>
      <c r="F51" s="11"/>
    </row>
    <row r="52" spans="1:6" ht="16" customHeight="1" x14ac:dyDescent="0.35">
      <c r="A52" s="11"/>
      <c r="B52" s="54" t="s">
        <v>69</v>
      </c>
      <c r="C52" s="55">
        <v>0.37859999999999999</v>
      </c>
      <c r="D52" s="55">
        <v>0.37859999999999999</v>
      </c>
      <c r="E52" s="55">
        <v>0.37859999999999999</v>
      </c>
      <c r="F52" s="11"/>
    </row>
    <row r="53" spans="1:6" ht="16" customHeight="1" x14ac:dyDescent="0.35">
      <c r="A53" s="11"/>
      <c r="B53" s="54" t="s">
        <v>70</v>
      </c>
      <c r="C53" s="55">
        <v>7.1800000000000003E-2</v>
      </c>
      <c r="D53" s="55">
        <v>7.1800000000000003E-2</v>
      </c>
      <c r="E53" s="55">
        <v>7.1800000000000003E-2</v>
      </c>
      <c r="F53" s="11"/>
    </row>
    <row r="54" spans="1:6" ht="16" customHeight="1" x14ac:dyDescent="0.35">
      <c r="A54" s="98" t="s">
        <v>71</v>
      </c>
      <c r="B54" s="92"/>
      <c r="C54" s="92"/>
      <c r="D54" s="92"/>
      <c r="E54" s="92"/>
      <c r="F54" s="93"/>
    </row>
    <row r="55" spans="1:6" ht="16" customHeight="1" x14ac:dyDescent="0.35">
      <c r="A55" s="11"/>
      <c r="B55" s="54" t="s">
        <v>72</v>
      </c>
      <c r="C55" s="41">
        <v>0.05</v>
      </c>
      <c r="D55" s="41">
        <v>0</v>
      </c>
      <c r="E55" s="41">
        <v>-0.05</v>
      </c>
      <c r="F55" s="11"/>
    </row>
    <row r="56" spans="1:6" ht="16" customHeight="1" x14ac:dyDescent="0.35">
      <c r="A56" s="11"/>
      <c r="B56" s="54" t="s">
        <v>73</v>
      </c>
      <c r="C56" s="41">
        <v>0.02</v>
      </c>
      <c r="D56" s="41">
        <v>0</v>
      </c>
      <c r="E56" s="41">
        <v>-0.03</v>
      </c>
      <c r="F56" s="11"/>
    </row>
    <row r="57" spans="1:6" ht="16" customHeight="1" x14ac:dyDescent="0.35">
      <c r="A57" s="11"/>
      <c r="B57" s="54" t="s">
        <v>74</v>
      </c>
      <c r="C57" s="41">
        <v>0.02</v>
      </c>
      <c r="D57" s="41">
        <v>0</v>
      </c>
      <c r="E57" s="41">
        <v>-0.03</v>
      </c>
      <c r="F57" s="11"/>
    </row>
    <row r="58" spans="1:6" ht="16" customHeight="1" x14ac:dyDescent="0.35">
      <c r="A58" s="98" t="s">
        <v>75</v>
      </c>
      <c r="B58" s="92"/>
      <c r="C58" s="92"/>
      <c r="D58" s="92"/>
      <c r="E58" s="92"/>
      <c r="F58" s="93"/>
    </row>
    <row r="59" spans="1:6" ht="16" customHeight="1" x14ac:dyDescent="0.35">
      <c r="A59" s="11"/>
      <c r="B59" s="54" t="s">
        <v>76</v>
      </c>
      <c r="C59" s="56">
        <f>IFERROR(C53+C55,"")</f>
        <v>0.12180000000000001</v>
      </c>
      <c r="D59" s="56">
        <f>IFERROR(D53+D55,"")</f>
        <v>7.1800000000000003E-2</v>
      </c>
      <c r="E59" s="56">
        <f>IFERROR(E53+E55,"")</f>
        <v>2.18E-2</v>
      </c>
      <c r="F59" s="11"/>
    </row>
    <row r="60" spans="1:6" ht="16" customHeight="1" x14ac:dyDescent="0.35">
      <c r="A60" s="11"/>
      <c r="B60" s="29" t="s">
        <v>77</v>
      </c>
      <c r="C60" s="57">
        <f>IFERROR(C49*(1+C59),"")</f>
        <v>9.8607644685999993</v>
      </c>
      <c r="D60" s="57">
        <f>IFERROR(D49*(1+D59),"")</f>
        <v>9.4212581186000008</v>
      </c>
      <c r="E60" s="57">
        <f>IFERROR(E49*(1+E59),"")</f>
        <v>8.9817517686000006</v>
      </c>
      <c r="F60" s="11"/>
    </row>
    <row r="61" spans="1:6" ht="16" customHeight="1" x14ac:dyDescent="0.35">
      <c r="A61" s="11"/>
      <c r="B61" s="54" t="s">
        <v>78</v>
      </c>
      <c r="C61" s="14">
        <f>IFERROR(C50+C56,"")</f>
        <v>0.76580000000000004</v>
      </c>
      <c r="D61" s="14">
        <f>IFERROR(D50+D56,"")</f>
        <v>0.74580000000000002</v>
      </c>
      <c r="E61" s="14">
        <f>IFERROR(E50+E56,"")</f>
        <v>0.71579999999999999</v>
      </c>
      <c r="F61" s="11"/>
    </row>
    <row r="62" spans="1:6" ht="16" customHeight="1" x14ac:dyDescent="0.35">
      <c r="A62" s="11"/>
      <c r="B62" s="54" t="s">
        <v>79</v>
      </c>
      <c r="C62" s="30">
        <f>IFERROR(C60*C61,"")</f>
        <v>7.5513734300538795</v>
      </c>
      <c r="D62" s="30">
        <f>IFERROR(D60*D61,"")</f>
        <v>7.0263743048518812</v>
      </c>
      <c r="E62" s="30">
        <f>IFERROR(E60*E61,"")</f>
        <v>6.4291379159638806</v>
      </c>
      <c r="F62" s="11"/>
    </row>
    <row r="63" spans="1:6" ht="16" customHeight="1" x14ac:dyDescent="0.35">
      <c r="A63" s="11"/>
      <c r="B63" s="54" t="s">
        <v>80</v>
      </c>
      <c r="C63" s="14">
        <f>IFERROR(C51+C57,"")</f>
        <v>0.40840000000000004</v>
      </c>
      <c r="D63" s="14">
        <f>IFERROR(D51+D57,"")</f>
        <v>0.38840000000000002</v>
      </c>
      <c r="E63" s="14">
        <f>IFERROR(E51+E57,"")</f>
        <v>0.35840000000000005</v>
      </c>
      <c r="F63" s="11"/>
    </row>
    <row r="64" spans="1:6" ht="16" customHeight="1" x14ac:dyDescent="0.35">
      <c r="A64" s="11"/>
      <c r="B64" s="54" t="s">
        <v>81</v>
      </c>
      <c r="C64" s="30">
        <f>IFERROR(C60*C63,"")</f>
        <v>4.0271362089762404</v>
      </c>
      <c r="D64" s="30">
        <f>IFERROR(D60*D63,"")</f>
        <v>3.6592166532642407</v>
      </c>
      <c r="E64" s="30">
        <f>IFERROR(E60*E63,"")</f>
        <v>3.2190598338662406</v>
      </c>
      <c r="F64" s="11"/>
    </row>
    <row r="65" spans="1:6" ht="16" customHeight="1" x14ac:dyDescent="0.35">
      <c r="A65" s="11"/>
      <c r="B65" s="54" t="s">
        <v>82</v>
      </c>
      <c r="C65" s="30">
        <f>IFERROR(C60*C52,"")</f>
        <v>3.7332854278119596</v>
      </c>
      <c r="D65" s="30">
        <f>IFERROR(D60*D52,"")</f>
        <v>3.5668883237019604</v>
      </c>
      <c r="E65" s="30">
        <f>IFERROR(E60*E52,"")</f>
        <v>3.4004912195919603</v>
      </c>
      <c r="F65" s="11"/>
    </row>
    <row r="66" spans="1:6" ht="4" customHeight="1" x14ac:dyDescent="0.35">
      <c r="A66" s="6"/>
      <c r="B66" s="6"/>
      <c r="C66" s="6"/>
      <c r="D66" s="6"/>
      <c r="E66" s="6"/>
      <c r="F66" s="6"/>
    </row>
    <row r="67" spans="1:6" ht="20" customHeight="1" x14ac:dyDescent="0.35">
      <c r="A67" s="91" t="s">
        <v>17</v>
      </c>
      <c r="B67" s="92"/>
      <c r="C67" s="92"/>
      <c r="D67" s="92"/>
      <c r="E67" s="92"/>
      <c r="F67" s="93"/>
    </row>
    <row r="68" spans="1:6" ht="20" customHeight="1" x14ac:dyDescent="0.35">
      <c r="A68" s="1"/>
      <c r="B68" s="1" t="s">
        <v>61</v>
      </c>
      <c r="C68" s="1" t="s">
        <v>62</v>
      </c>
      <c r="D68" s="1" t="s">
        <v>63</v>
      </c>
      <c r="E68" s="1" t="s">
        <v>64</v>
      </c>
      <c r="F68" s="1"/>
    </row>
    <row r="69" spans="1:6" ht="16" customHeight="1" x14ac:dyDescent="0.35">
      <c r="A69" s="98" t="s">
        <v>65</v>
      </c>
      <c r="B69" s="92"/>
      <c r="C69" s="92"/>
      <c r="D69" s="92"/>
      <c r="E69" s="92"/>
      <c r="F69" s="93"/>
    </row>
    <row r="70" spans="1:6" ht="16" customHeight="1" x14ac:dyDescent="0.35">
      <c r="A70" s="15"/>
      <c r="B70" s="58" t="s">
        <v>66</v>
      </c>
      <c r="C70" s="17">
        <v>94.192999999999998</v>
      </c>
      <c r="D70" s="17">
        <v>94.192999999999998</v>
      </c>
      <c r="E70" s="17">
        <v>94.192999999999998</v>
      </c>
      <c r="F70" s="15"/>
    </row>
    <row r="71" spans="1:6" ht="16" customHeight="1" x14ac:dyDescent="0.35">
      <c r="A71" s="15"/>
      <c r="B71" s="58" t="s">
        <v>67</v>
      </c>
      <c r="C71" s="59">
        <v>0.67879999999999996</v>
      </c>
      <c r="D71" s="59">
        <v>0.67879999999999996</v>
      </c>
      <c r="E71" s="59">
        <v>0.67879999999999996</v>
      </c>
      <c r="F71" s="15"/>
    </row>
    <row r="72" spans="1:6" ht="16" customHeight="1" x14ac:dyDescent="0.35">
      <c r="A72" s="15"/>
      <c r="B72" s="58" t="s">
        <v>68</v>
      </c>
      <c r="C72" s="59">
        <v>0.2717</v>
      </c>
      <c r="D72" s="59">
        <v>0.2717</v>
      </c>
      <c r="E72" s="59">
        <v>0.2717</v>
      </c>
      <c r="F72" s="15"/>
    </row>
    <row r="73" spans="1:6" ht="16" customHeight="1" x14ac:dyDescent="0.35">
      <c r="A73" s="15"/>
      <c r="B73" s="58" t="s">
        <v>69</v>
      </c>
      <c r="C73" s="59">
        <v>0.28460000000000002</v>
      </c>
      <c r="D73" s="59">
        <v>0.28460000000000002</v>
      </c>
      <c r="E73" s="59">
        <v>0.28460000000000002</v>
      </c>
      <c r="F73" s="15"/>
    </row>
    <row r="74" spans="1:6" ht="16" customHeight="1" x14ac:dyDescent="0.35">
      <c r="A74" s="15"/>
      <c r="B74" s="58" t="s">
        <v>70</v>
      </c>
      <c r="C74" s="59">
        <v>6.0499999999999998E-2</v>
      </c>
      <c r="D74" s="59">
        <v>6.0499999999999998E-2</v>
      </c>
      <c r="E74" s="59">
        <v>6.0499999999999998E-2</v>
      </c>
      <c r="F74" s="15"/>
    </row>
    <row r="75" spans="1:6" ht="16" customHeight="1" x14ac:dyDescent="0.35">
      <c r="A75" s="98" t="s">
        <v>71</v>
      </c>
      <c r="B75" s="92"/>
      <c r="C75" s="92"/>
      <c r="D75" s="92"/>
      <c r="E75" s="92"/>
      <c r="F75" s="93"/>
    </row>
    <row r="76" spans="1:6" ht="16" customHeight="1" x14ac:dyDescent="0.35">
      <c r="A76" s="15"/>
      <c r="B76" s="58" t="s">
        <v>72</v>
      </c>
      <c r="C76" s="43">
        <v>0.05</v>
      </c>
      <c r="D76" s="43">
        <v>0</v>
      </c>
      <c r="E76" s="43">
        <v>-0.05</v>
      </c>
      <c r="F76" s="15"/>
    </row>
    <row r="77" spans="1:6" ht="16" customHeight="1" x14ac:dyDescent="0.35">
      <c r="A77" s="15"/>
      <c r="B77" s="58" t="s">
        <v>73</v>
      </c>
      <c r="C77" s="43">
        <v>0.02</v>
      </c>
      <c r="D77" s="43">
        <v>0</v>
      </c>
      <c r="E77" s="43">
        <v>-0.03</v>
      </c>
      <c r="F77" s="15"/>
    </row>
    <row r="78" spans="1:6" ht="16" customHeight="1" x14ac:dyDescent="0.35">
      <c r="A78" s="15"/>
      <c r="B78" s="58" t="s">
        <v>74</v>
      </c>
      <c r="C78" s="43">
        <v>0.02</v>
      </c>
      <c r="D78" s="43">
        <v>0</v>
      </c>
      <c r="E78" s="43">
        <v>-0.03</v>
      </c>
      <c r="F78" s="15"/>
    </row>
    <row r="79" spans="1:6" ht="16" customHeight="1" x14ac:dyDescent="0.35">
      <c r="A79" s="98" t="s">
        <v>75</v>
      </c>
      <c r="B79" s="92"/>
      <c r="C79" s="92"/>
      <c r="D79" s="92"/>
      <c r="E79" s="92"/>
      <c r="F79" s="93"/>
    </row>
    <row r="80" spans="1:6" ht="16" customHeight="1" x14ac:dyDescent="0.35">
      <c r="A80" s="15"/>
      <c r="B80" s="58" t="s">
        <v>76</v>
      </c>
      <c r="C80" s="60">
        <f>IFERROR(C74+C76,"")</f>
        <v>0.1105</v>
      </c>
      <c r="D80" s="60">
        <f>IFERROR(D74+D76,"")</f>
        <v>6.0499999999999998E-2</v>
      </c>
      <c r="E80" s="60">
        <f>IFERROR(E74+E76,"")</f>
        <v>1.0499999999999995E-2</v>
      </c>
      <c r="F80" s="15"/>
    </row>
    <row r="81" spans="1:6" ht="16" customHeight="1" x14ac:dyDescent="0.35">
      <c r="A81" s="15"/>
      <c r="B81" s="32" t="s">
        <v>77</v>
      </c>
      <c r="C81" s="61">
        <f>IFERROR(C70*(1+C80),"")</f>
        <v>104.6013265</v>
      </c>
      <c r="D81" s="61">
        <f>IFERROR(D70*(1+D80),"")</f>
        <v>99.891676500000003</v>
      </c>
      <c r="E81" s="61">
        <f>IFERROR(E70*(1+E80),"")</f>
        <v>95.182026499999992</v>
      </c>
      <c r="F81" s="15"/>
    </row>
    <row r="82" spans="1:6" ht="16" customHeight="1" x14ac:dyDescent="0.35">
      <c r="A82" s="15"/>
      <c r="B82" s="58" t="s">
        <v>78</v>
      </c>
      <c r="C82" s="18">
        <f>IFERROR(C71+C77,"")</f>
        <v>0.69879999999999998</v>
      </c>
      <c r="D82" s="18">
        <f>IFERROR(D71+D77,"")</f>
        <v>0.67879999999999996</v>
      </c>
      <c r="E82" s="18">
        <f>IFERROR(E71+E77,"")</f>
        <v>0.64879999999999993</v>
      </c>
      <c r="F82" s="15"/>
    </row>
    <row r="83" spans="1:6" ht="16" customHeight="1" x14ac:dyDescent="0.35">
      <c r="A83" s="15"/>
      <c r="B83" s="58" t="s">
        <v>79</v>
      </c>
      <c r="C83" s="33">
        <f>IFERROR(C81*C82,"")</f>
        <v>73.095406958200002</v>
      </c>
      <c r="D83" s="33">
        <f>IFERROR(D81*D82,"")</f>
        <v>67.806470008199994</v>
      </c>
      <c r="E83" s="33">
        <f>IFERROR(E81*E82,"")</f>
        <v>61.754098793199987</v>
      </c>
      <c r="F83" s="15"/>
    </row>
    <row r="84" spans="1:6" ht="16" customHeight="1" x14ac:dyDescent="0.35">
      <c r="A84" s="15"/>
      <c r="B84" s="58" t="s">
        <v>80</v>
      </c>
      <c r="C84" s="18">
        <f>IFERROR(C72+C78,"")</f>
        <v>0.29170000000000001</v>
      </c>
      <c r="D84" s="18">
        <f>IFERROR(D72+D78,"")</f>
        <v>0.2717</v>
      </c>
      <c r="E84" s="18">
        <f>IFERROR(E72+E78,"")</f>
        <v>0.2417</v>
      </c>
      <c r="F84" s="15"/>
    </row>
    <row r="85" spans="1:6" ht="16" customHeight="1" x14ac:dyDescent="0.35">
      <c r="A85" s="15"/>
      <c r="B85" s="58" t="s">
        <v>81</v>
      </c>
      <c r="C85" s="33">
        <f>IFERROR(C81*C84,"")</f>
        <v>30.51220694005</v>
      </c>
      <c r="D85" s="33">
        <f>IFERROR(D81*D84,"")</f>
        <v>27.140568505050002</v>
      </c>
      <c r="E85" s="33">
        <f>IFERROR(E81*E84,"")</f>
        <v>23.005495805049996</v>
      </c>
      <c r="F85" s="15"/>
    </row>
    <row r="86" spans="1:6" ht="16" customHeight="1" x14ac:dyDescent="0.35">
      <c r="A86" s="15"/>
      <c r="B86" s="58" t="s">
        <v>82</v>
      </c>
      <c r="C86" s="33">
        <f>IFERROR(C81*C73,"")</f>
        <v>29.769537521900002</v>
      </c>
      <c r="D86" s="33">
        <f>IFERROR(D81*D73,"")</f>
        <v>28.429171131900002</v>
      </c>
      <c r="E86" s="33">
        <f>IFERROR(E81*E73,"")</f>
        <v>27.088804741899999</v>
      </c>
      <c r="F86" s="15"/>
    </row>
    <row r="87" spans="1:6" ht="4" customHeight="1" x14ac:dyDescent="0.35">
      <c r="A87" s="6"/>
      <c r="B87" s="6"/>
      <c r="C87" s="6"/>
      <c r="D87" s="6"/>
      <c r="E87" s="6"/>
      <c r="F87" s="6"/>
    </row>
    <row r="88" spans="1:6" ht="20" customHeight="1" x14ac:dyDescent="0.35">
      <c r="A88" s="91" t="s">
        <v>18</v>
      </c>
      <c r="B88" s="92"/>
      <c r="C88" s="92"/>
      <c r="D88" s="92"/>
      <c r="E88" s="92"/>
      <c r="F88" s="93"/>
    </row>
    <row r="89" spans="1:6" ht="20" customHeight="1" x14ac:dyDescent="0.35">
      <c r="A89" s="1"/>
      <c r="B89" s="1" t="s">
        <v>61</v>
      </c>
      <c r="C89" s="1" t="s">
        <v>62</v>
      </c>
      <c r="D89" s="1" t="s">
        <v>63</v>
      </c>
      <c r="E89" s="1" t="s">
        <v>64</v>
      </c>
      <c r="F89" s="1"/>
    </row>
    <row r="90" spans="1:6" ht="16" customHeight="1" x14ac:dyDescent="0.35">
      <c r="A90" s="98" t="s">
        <v>65</v>
      </c>
      <c r="B90" s="92"/>
      <c r="C90" s="92"/>
      <c r="D90" s="92"/>
      <c r="E90" s="92"/>
      <c r="F90" s="93"/>
    </row>
    <row r="91" spans="1:6" ht="16" customHeight="1" x14ac:dyDescent="0.35">
      <c r="A91" s="19"/>
      <c r="B91" s="62" t="s">
        <v>66</v>
      </c>
      <c r="C91" s="21">
        <v>275.23500000000001</v>
      </c>
      <c r="D91" s="21">
        <v>275.23500000000001</v>
      </c>
      <c r="E91" s="21">
        <v>275.23500000000001</v>
      </c>
      <c r="F91" s="19"/>
    </row>
    <row r="92" spans="1:6" ht="16" customHeight="1" x14ac:dyDescent="0.35">
      <c r="A92" s="19"/>
      <c r="B92" s="62" t="s">
        <v>67</v>
      </c>
      <c r="C92" s="63">
        <v>0.12839999999999999</v>
      </c>
      <c r="D92" s="63">
        <v>0.12839999999999999</v>
      </c>
      <c r="E92" s="63">
        <v>0.12839999999999999</v>
      </c>
      <c r="F92" s="19"/>
    </row>
    <row r="93" spans="1:6" ht="16" customHeight="1" x14ac:dyDescent="0.35">
      <c r="A93" s="19"/>
      <c r="B93" s="62" t="s">
        <v>68</v>
      </c>
      <c r="C93" s="63">
        <v>3.7699999999999997E-2</v>
      </c>
      <c r="D93" s="63">
        <v>3.7699999999999997E-2</v>
      </c>
      <c r="E93" s="63">
        <v>3.7699999999999997E-2</v>
      </c>
      <c r="F93" s="19"/>
    </row>
    <row r="94" spans="1:6" ht="16" customHeight="1" x14ac:dyDescent="0.35">
      <c r="A94" s="19"/>
      <c r="B94" s="62" t="s">
        <v>69</v>
      </c>
      <c r="C94" s="63">
        <v>2.9399999999999999E-2</v>
      </c>
      <c r="D94" s="63">
        <v>2.9399999999999999E-2</v>
      </c>
      <c r="E94" s="63">
        <v>2.9399999999999999E-2</v>
      </c>
      <c r="F94" s="19"/>
    </row>
    <row r="95" spans="1:6" ht="16" customHeight="1" x14ac:dyDescent="0.35">
      <c r="A95" s="19"/>
      <c r="B95" s="62" t="s">
        <v>70</v>
      </c>
      <c r="C95" s="63">
        <v>8.1699999999999995E-2</v>
      </c>
      <c r="D95" s="63">
        <v>8.1699999999999995E-2</v>
      </c>
      <c r="E95" s="63">
        <v>8.1699999999999995E-2</v>
      </c>
      <c r="F95" s="19"/>
    </row>
    <row r="96" spans="1:6" ht="16" customHeight="1" x14ac:dyDescent="0.35">
      <c r="A96" s="98" t="s">
        <v>71</v>
      </c>
      <c r="B96" s="92"/>
      <c r="C96" s="92"/>
      <c r="D96" s="92"/>
      <c r="E96" s="92"/>
      <c r="F96" s="93"/>
    </row>
    <row r="97" spans="1:6" ht="16" customHeight="1" x14ac:dyDescent="0.35">
      <c r="A97" s="19"/>
      <c r="B97" s="62" t="s">
        <v>72</v>
      </c>
      <c r="C97" s="45">
        <v>0.05</v>
      </c>
      <c r="D97" s="45">
        <v>0</v>
      </c>
      <c r="E97" s="45">
        <v>-0.05</v>
      </c>
      <c r="F97" s="19"/>
    </row>
    <row r="98" spans="1:6" ht="16" customHeight="1" x14ac:dyDescent="0.35">
      <c r="A98" s="19"/>
      <c r="B98" s="62" t="s">
        <v>73</v>
      </c>
      <c r="C98" s="45">
        <v>0.02</v>
      </c>
      <c r="D98" s="45">
        <v>0</v>
      </c>
      <c r="E98" s="45">
        <v>-0.03</v>
      </c>
      <c r="F98" s="19"/>
    </row>
    <row r="99" spans="1:6" ht="16" customHeight="1" x14ac:dyDescent="0.35">
      <c r="A99" s="19"/>
      <c r="B99" s="62" t="s">
        <v>74</v>
      </c>
      <c r="C99" s="45">
        <v>0.02</v>
      </c>
      <c r="D99" s="45">
        <v>0</v>
      </c>
      <c r="E99" s="45">
        <v>-0.03</v>
      </c>
      <c r="F99" s="19"/>
    </row>
    <row r="100" spans="1:6" ht="16" customHeight="1" x14ac:dyDescent="0.35">
      <c r="A100" s="98" t="s">
        <v>75</v>
      </c>
      <c r="B100" s="92"/>
      <c r="C100" s="92"/>
      <c r="D100" s="92"/>
      <c r="E100" s="92"/>
      <c r="F100" s="93"/>
    </row>
    <row r="101" spans="1:6" ht="16" customHeight="1" x14ac:dyDescent="0.35">
      <c r="A101" s="19"/>
      <c r="B101" s="62" t="s">
        <v>76</v>
      </c>
      <c r="C101" s="64">
        <f>IFERROR(C95+C97,"")</f>
        <v>0.13169999999999998</v>
      </c>
      <c r="D101" s="64">
        <f>IFERROR(D95+D97,"")</f>
        <v>8.1699999999999995E-2</v>
      </c>
      <c r="E101" s="64">
        <f>IFERROR(E95+E97,"")</f>
        <v>3.1699999999999992E-2</v>
      </c>
      <c r="F101" s="19"/>
    </row>
    <row r="102" spans="1:6" ht="16" customHeight="1" x14ac:dyDescent="0.35">
      <c r="A102" s="19"/>
      <c r="B102" s="34" t="s">
        <v>77</v>
      </c>
      <c r="C102" s="65">
        <f>IFERROR(C91*(1+C101),"")</f>
        <v>311.48344950000001</v>
      </c>
      <c r="D102" s="65">
        <f>IFERROR(D91*(1+D101),"")</f>
        <v>297.72169950000006</v>
      </c>
      <c r="E102" s="65">
        <f>IFERROR(E91*(1+E101),"")</f>
        <v>283.95994950000005</v>
      </c>
      <c r="F102" s="19"/>
    </row>
    <row r="103" spans="1:6" ht="16" customHeight="1" x14ac:dyDescent="0.35">
      <c r="A103" s="19"/>
      <c r="B103" s="62" t="s">
        <v>78</v>
      </c>
      <c r="C103" s="22">
        <f>IFERROR(C92+C98,"")</f>
        <v>0.14839999999999998</v>
      </c>
      <c r="D103" s="22">
        <f>IFERROR(D92+D98,"")</f>
        <v>0.12839999999999999</v>
      </c>
      <c r="E103" s="22">
        <f>IFERROR(E92+E98,"")</f>
        <v>9.8399999999999987E-2</v>
      </c>
      <c r="F103" s="19"/>
    </row>
    <row r="104" spans="1:6" ht="16" customHeight="1" x14ac:dyDescent="0.35">
      <c r="A104" s="19"/>
      <c r="B104" s="62" t="s">
        <v>79</v>
      </c>
      <c r="C104" s="35">
        <f>IFERROR(C102*C103,"")</f>
        <v>46.224143905799991</v>
      </c>
      <c r="D104" s="35">
        <f>IFERROR(D102*D103,"")</f>
        <v>38.2274662158</v>
      </c>
      <c r="E104" s="35">
        <f>IFERROR(E102*E103,"")</f>
        <v>27.9416590308</v>
      </c>
      <c r="F104" s="19"/>
    </row>
    <row r="105" spans="1:6" ht="16" customHeight="1" x14ac:dyDescent="0.35">
      <c r="A105" s="19"/>
      <c r="B105" s="62" t="s">
        <v>80</v>
      </c>
      <c r="C105" s="22">
        <f>IFERROR(C93+C99,"")</f>
        <v>5.7700000000000001E-2</v>
      </c>
      <c r="D105" s="22">
        <f>IFERROR(D93+D99,"")</f>
        <v>3.7699999999999997E-2</v>
      </c>
      <c r="E105" s="22">
        <f>IFERROR(E93+E99,"")</f>
        <v>7.6999999999999985E-3</v>
      </c>
      <c r="F105" s="19"/>
    </row>
    <row r="106" spans="1:6" ht="16" customHeight="1" x14ac:dyDescent="0.35">
      <c r="A106" s="19"/>
      <c r="B106" s="62" t="s">
        <v>81</v>
      </c>
      <c r="C106" s="35">
        <f>IFERROR(C102*C105,"")</f>
        <v>17.97259503615</v>
      </c>
      <c r="D106" s="35">
        <f>IFERROR(D102*D105,"")</f>
        <v>11.224108071150001</v>
      </c>
      <c r="E106" s="35">
        <f>IFERROR(E102*E105,"")</f>
        <v>2.1864916111500001</v>
      </c>
      <c r="F106" s="19"/>
    </row>
    <row r="107" spans="1:6" ht="16" customHeight="1" x14ac:dyDescent="0.35">
      <c r="A107" s="19"/>
      <c r="B107" s="62" t="s">
        <v>82</v>
      </c>
      <c r="C107" s="35">
        <f>IFERROR(C102*C94,"")</f>
        <v>9.1576134153000002</v>
      </c>
      <c r="D107" s="35">
        <f>IFERROR(D102*D94,"")</f>
        <v>8.7530179653000015</v>
      </c>
      <c r="E107" s="35">
        <f>IFERROR(E102*E94,"")</f>
        <v>8.3484225153000011</v>
      </c>
      <c r="F107" s="19"/>
    </row>
    <row r="108" spans="1:6" ht="4" customHeight="1" x14ac:dyDescent="0.35">
      <c r="A108" s="6"/>
      <c r="B108" s="6"/>
      <c r="C108" s="6"/>
      <c r="D108" s="6"/>
      <c r="E108" s="6"/>
      <c r="F108" s="6"/>
    </row>
    <row r="109" spans="1:6" x14ac:dyDescent="0.35">
      <c r="A109" s="97" t="s">
        <v>19</v>
      </c>
      <c r="B109" s="95"/>
      <c r="C109" s="95"/>
      <c r="D109" s="95"/>
      <c r="E109" s="95"/>
      <c r="F109" s="95"/>
    </row>
    <row r="200" spans="2:5" x14ac:dyDescent="0.35">
      <c r="B200" t="s">
        <v>20</v>
      </c>
      <c r="C200" t="s">
        <v>83</v>
      </c>
      <c r="D200" t="s">
        <v>84</v>
      </c>
      <c r="E200" t="s">
        <v>85</v>
      </c>
    </row>
    <row r="201" spans="2:5" x14ac:dyDescent="0.35">
      <c r="B201" t="s">
        <v>21</v>
      </c>
      <c r="C201">
        <v>337.9</v>
      </c>
      <c r="D201">
        <v>323.8</v>
      </c>
      <c r="E201">
        <v>309.7</v>
      </c>
    </row>
    <row r="202" spans="2:5" x14ac:dyDescent="0.35">
      <c r="B202" t="s">
        <v>22</v>
      </c>
      <c r="C202">
        <v>31.7</v>
      </c>
      <c r="D202">
        <v>30.4</v>
      </c>
      <c r="E202">
        <v>29</v>
      </c>
    </row>
    <row r="203" spans="2:5" x14ac:dyDescent="0.35">
      <c r="B203" t="s">
        <v>23</v>
      </c>
      <c r="C203">
        <v>9.9</v>
      </c>
      <c r="D203">
        <v>9.4</v>
      </c>
      <c r="E203">
        <v>9</v>
      </c>
    </row>
    <row r="204" spans="2:5" x14ac:dyDescent="0.35">
      <c r="B204" t="s">
        <v>24</v>
      </c>
      <c r="C204">
        <v>104.6</v>
      </c>
      <c r="D204">
        <v>99.9</v>
      </c>
      <c r="E204">
        <v>95.2</v>
      </c>
    </row>
    <row r="205" spans="2:5" x14ac:dyDescent="0.35">
      <c r="B205" t="s">
        <v>25</v>
      </c>
      <c r="C205">
        <v>311.5</v>
      </c>
      <c r="D205">
        <v>297.7</v>
      </c>
      <c r="E205">
        <v>284</v>
      </c>
    </row>
  </sheetData>
  <mergeCells count="23">
    <mergeCell ref="A109:F109"/>
    <mergeCell ref="A67:F67"/>
    <mergeCell ref="A58:F58"/>
    <mergeCell ref="A48:F48"/>
    <mergeCell ref="A1:F1"/>
    <mergeCell ref="A79:F79"/>
    <mergeCell ref="A6:F6"/>
    <mergeCell ref="A88:F88"/>
    <mergeCell ref="A69:F69"/>
    <mergeCell ref="A25:F25"/>
    <mergeCell ref="A12:F12"/>
    <mergeCell ref="A2:F2"/>
    <mergeCell ref="A33:F33"/>
    <mergeCell ref="A4:F4"/>
    <mergeCell ref="A100:F100"/>
    <mergeCell ref="A96:F96"/>
    <mergeCell ref="A16:F16"/>
    <mergeCell ref="A54:F54"/>
    <mergeCell ref="A46:F46"/>
    <mergeCell ref="A90:F90"/>
    <mergeCell ref="A37:F37"/>
    <mergeCell ref="A75:F75"/>
    <mergeCell ref="A27:F2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showGridLines="0" workbookViewId="0">
      <selection sqref="A1:B1"/>
    </sheetView>
  </sheetViews>
  <sheetFormatPr defaultRowHeight="14.5" x14ac:dyDescent="0.35"/>
  <cols>
    <col min="1" max="1" width="3" customWidth="1"/>
    <col min="2" max="2" width="110" customWidth="1"/>
  </cols>
  <sheetData>
    <row r="1" spans="1:2" ht="32" customHeight="1" x14ac:dyDescent="0.35">
      <c r="A1" s="96" t="s">
        <v>86</v>
      </c>
      <c r="B1" s="95"/>
    </row>
    <row r="2" spans="1:2" ht="18" customHeight="1" x14ac:dyDescent="0.35">
      <c r="A2" s="94" t="s">
        <v>87</v>
      </c>
      <c r="B2" s="95"/>
    </row>
    <row r="3" spans="1:2" ht="8" customHeight="1" x14ac:dyDescent="0.35"/>
    <row r="4" spans="1:2" ht="22" customHeight="1" x14ac:dyDescent="0.35">
      <c r="A4" s="99" t="s">
        <v>88</v>
      </c>
      <c r="B4" s="95"/>
    </row>
    <row r="5" spans="1:2" ht="22" customHeight="1" x14ac:dyDescent="0.35">
      <c r="A5" s="100" t="s">
        <v>89</v>
      </c>
      <c r="B5" s="95"/>
    </row>
    <row r="6" spans="1:2" ht="28" customHeight="1" x14ac:dyDescent="0.35">
      <c r="A6" s="66"/>
      <c r="B6" s="67" t="s">
        <v>90</v>
      </c>
    </row>
    <row r="7" spans="1:2" ht="28" customHeight="1" x14ac:dyDescent="0.35">
      <c r="A7" s="66"/>
      <c r="B7" s="67" t="s">
        <v>91</v>
      </c>
    </row>
    <row r="8" spans="1:2" ht="28" customHeight="1" x14ac:dyDescent="0.35">
      <c r="A8" s="66"/>
      <c r="B8" s="67" t="s">
        <v>92</v>
      </c>
    </row>
    <row r="9" spans="1:2" ht="28" customHeight="1" x14ac:dyDescent="0.35">
      <c r="A9" s="66"/>
      <c r="B9" s="67" t="s">
        <v>93</v>
      </c>
    </row>
    <row r="10" spans="1:2" ht="28" customHeight="1" x14ac:dyDescent="0.35">
      <c r="A10" s="66"/>
      <c r="B10" s="67" t="s">
        <v>94</v>
      </c>
    </row>
    <row r="11" spans="1:2" ht="22" customHeight="1" x14ac:dyDescent="0.35">
      <c r="A11" s="100" t="s">
        <v>95</v>
      </c>
      <c r="B11" s="95"/>
    </row>
    <row r="12" spans="1:2" ht="28" customHeight="1" x14ac:dyDescent="0.35">
      <c r="A12" s="66"/>
      <c r="B12" s="67" t="s">
        <v>96</v>
      </c>
    </row>
    <row r="13" spans="1:2" ht="28" customHeight="1" x14ac:dyDescent="0.35">
      <c r="A13" s="66"/>
      <c r="B13" s="67" t="s">
        <v>97</v>
      </c>
    </row>
    <row r="14" spans="1:2" ht="22" customHeight="1" x14ac:dyDescent="0.35">
      <c r="A14" s="100" t="s">
        <v>98</v>
      </c>
      <c r="B14" s="95"/>
    </row>
    <row r="15" spans="1:2" ht="28" customHeight="1" x14ac:dyDescent="0.35">
      <c r="A15" s="66"/>
      <c r="B15" s="67" t="s">
        <v>99</v>
      </c>
    </row>
    <row r="16" spans="1:2" ht="28" customHeight="1" x14ac:dyDescent="0.35">
      <c r="A16" s="66"/>
      <c r="B16" s="67" t="s">
        <v>100</v>
      </c>
    </row>
    <row r="17" spans="1:2" ht="28" customHeight="1" x14ac:dyDescent="0.35">
      <c r="A17" s="66"/>
      <c r="B17" s="67" t="s">
        <v>101</v>
      </c>
    </row>
    <row r="18" spans="1:2" ht="22" customHeight="1" x14ac:dyDescent="0.35">
      <c r="A18" s="100" t="s">
        <v>102</v>
      </c>
      <c r="B18" s="95"/>
    </row>
    <row r="19" spans="1:2" ht="28" customHeight="1" x14ac:dyDescent="0.35">
      <c r="A19" s="66"/>
      <c r="B19" s="67" t="s">
        <v>103</v>
      </c>
    </row>
  </sheetData>
  <mergeCells count="7">
    <mergeCell ref="A1:B1"/>
    <mergeCell ref="A18:B18"/>
    <mergeCell ref="A4:B4"/>
    <mergeCell ref="A2:B2"/>
    <mergeCell ref="A11:B11"/>
    <mergeCell ref="A5:B5"/>
    <mergeCell ref="A14:B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3"/>
  <sheetViews>
    <sheetView showGridLines="0" workbookViewId="0">
      <selection activeCell="K5" sqref="K5"/>
    </sheetView>
  </sheetViews>
  <sheetFormatPr defaultRowHeight="14.5" x14ac:dyDescent="0.35"/>
  <cols>
    <col min="1" max="1" width="3" customWidth="1"/>
    <col min="2" max="2" width="23.453125" bestFit="1" customWidth="1"/>
    <col min="3" max="3" width="12" customWidth="1"/>
    <col min="4" max="4" width="11.08984375" bestFit="1" customWidth="1"/>
    <col min="5" max="5" width="11.81640625" bestFit="1" customWidth="1"/>
    <col min="6" max="6" width="11" bestFit="1" customWidth="1"/>
    <col min="7" max="8" width="11.6328125" bestFit="1" customWidth="1"/>
    <col min="9" max="9" width="9.453125" bestFit="1" customWidth="1"/>
  </cols>
  <sheetData>
    <row r="1" spans="1:9" x14ac:dyDescent="0.35">
      <c r="A1" s="96" t="s">
        <v>104</v>
      </c>
      <c r="B1" s="95"/>
      <c r="C1" s="95"/>
      <c r="D1" s="95"/>
      <c r="E1" s="95"/>
      <c r="F1" s="95"/>
      <c r="G1" s="95"/>
      <c r="H1" s="95"/>
      <c r="I1" s="95"/>
    </row>
    <row r="2" spans="1:9" x14ac:dyDescent="0.35">
      <c r="A2" s="94" t="s">
        <v>105</v>
      </c>
      <c r="B2" s="95"/>
      <c r="C2" s="95"/>
      <c r="D2" s="95"/>
      <c r="E2" s="95"/>
      <c r="F2" s="95"/>
      <c r="G2" s="95"/>
      <c r="H2" s="95"/>
      <c r="I2" s="95"/>
    </row>
    <row r="4" spans="1:9" x14ac:dyDescent="0.35">
      <c r="A4" s="101" t="s">
        <v>106</v>
      </c>
      <c r="B4" s="95"/>
      <c r="C4" s="95"/>
      <c r="D4" s="95"/>
      <c r="E4" s="95"/>
      <c r="F4" s="95"/>
      <c r="G4" s="95"/>
      <c r="H4" s="95"/>
      <c r="I4" s="95"/>
    </row>
    <row r="5" spans="1:9" ht="26" x14ac:dyDescent="0.35">
      <c r="B5" s="68" t="s">
        <v>107</v>
      </c>
      <c r="C5" s="3" t="s">
        <v>108</v>
      </c>
      <c r="D5" s="102" t="s">
        <v>109</v>
      </c>
      <c r="E5" s="95"/>
      <c r="F5" s="95"/>
      <c r="G5" s="95"/>
      <c r="H5" s="95"/>
      <c r="I5" s="95"/>
    </row>
    <row r="6" spans="1:9" ht="26" x14ac:dyDescent="0.35">
      <c r="B6" s="69" t="s">
        <v>110</v>
      </c>
      <c r="C6" s="8" t="s">
        <v>111</v>
      </c>
      <c r="D6" s="103" t="s">
        <v>112</v>
      </c>
      <c r="E6" s="95"/>
      <c r="F6" s="95"/>
      <c r="G6" s="95"/>
      <c r="H6" s="95"/>
      <c r="I6" s="95"/>
    </row>
    <row r="7" spans="1:9" ht="26" x14ac:dyDescent="0.35">
      <c r="B7" s="70" t="s">
        <v>113</v>
      </c>
      <c r="C7" s="12" t="s">
        <v>114</v>
      </c>
      <c r="D7" s="105" t="s">
        <v>115</v>
      </c>
      <c r="E7" s="95"/>
      <c r="F7" s="95"/>
      <c r="G7" s="95"/>
      <c r="H7" s="95"/>
      <c r="I7" s="95"/>
    </row>
    <row r="10" spans="1:9" x14ac:dyDescent="0.35">
      <c r="A10" s="101" t="s">
        <v>116</v>
      </c>
      <c r="B10" s="95"/>
      <c r="C10" s="95"/>
      <c r="D10" s="95"/>
      <c r="E10" s="95"/>
      <c r="F10" s="95"/>
      <c r="G10" s="95"/>
      <c r="H10" s="95"/>
      <c r="I10" s="95"/>
    </row>
    <row r="11" spans="1:9" ht="26" x14ac:dyDescent="0.35">
      <c r="A11" s="1"/>
      <c r="B11" s="1" t="s">
        <v>117</v>
      </c>
      <c r="C11" s="1" t="s">
        <v>118</v>
      </c>
      <c r="D11" s="1" t="s">
        <v>119</v>
      </c>
      <c r="E11" s="1" t="s">
        <v>120</v>
      </c>
      <c r="F11" s="1" t="s">
        <v>121</v>
      </c>
      <c r="G11" s="1" t="s">
        <v>122</v>
      </c>
      <c r="H11" s="1" t="s">
        <v>123</v>
      </c>
      <c r="I11" s="1" t="s">
        <v>124</v>
      </c>
    </row>
    <row r="12" spans="1:9" ht="26" x14ac:dyDescent="0.35">
      <c r="B12" s="68" t="s">
        <v>107</v>
      </c>
      <c r="C12" s="36" t="s">
        <v>125</v>
      </c>
      <c r="D12" s="24">
        <v>20.74</v>
      </c>
      <c r="E12" s="24">
        <v>20.6</v>
      </c>
      <c r="F12" s="71">
        <v>-0.14000000000000001</v>
      </c>
      <c r="G12" s="72">
        <v>-6.7999999999999996E-3</v>
      </c>
      <c r="H12" s="36" t="s">
        <v>126</v>
      </c>
      <c r="I12" s="73" t="s">
        <v>127</v>
      </c>
    </row>
    <row r="13" spans="1:9" x14ac:dyDescent="0.35">
      <c r="B13" s="74"/>
      <c r="C13" s="36" t="s">
        <v>128</v>
      </c>
      <c r="D13" s="24">
        <v>21.28</v>
      </c>
      <c r="E13" s="24">
        <v>21</v>
      </c>
      <c r="F13" s="71">
        <v>-0.28000000000000003</v>
      </c>
      <c r="G13" s="72">
        <v>-1.32E-2</v>
      </c>
      <c r="H13" s="75">
        <v>1.9400000000000001E-2</v>
      </c>
      <c r="I13" s="73" t="s">
        <v>127</v>
      </c>
    </row>
    <row r="14" spans="1:9" x14ac:dyDescent="0.35">
      <c r="B14" s="74"/>
      <c r="C14" s="36" t="s">
        <v>129</v>
      </c>
      <c r="D14" s="24">
        <v>21.17</v>
      </c>
      <c r="E14" s="24">
        <v>21.3</v>
      </c>
      <c r="F14" s="71">
        <v>0.13</v>
      </c>
      <c r="G14" s="72">
        <v>6.1000000000000004E-3</v>
      </c>
      <c r="H14" s="75">
        <v>1.43E-2</v>
      </c>
      <c r="I14" s="73" t="s">
        <v>127</v>
      </c>
    </row>
    <row r="15" spans="1:9" x14ac:dyDescent="0.35">
      <c r="B15" s="74"/>
      <c r="C15" s="36" t="s">
        <v>130</v>
      </c>
      <c r="D15" s="24">
        <v>21.92</v>
      </c>
      <c r="E15" s="24">
        <v>21.8</v>
      </c>
      <c r="F15" s="71">
        <v>-0.12</v>
      </c>
      <c r="G15" s="72">
        <v>-5.4999999999999997E-3</v>
      </c>
      <c r="H15" s="75">
        <v>2.35E-2</v>
      </c>
      <c r="I15" s="73" t="s">
        <v>127</v>
      </c>
    </row>
    <row r="16" spans="1:9" x14ac:dyDescent="0.35">
      <c r="A16" s="6"/>
      <c r="B16" s="6"/>
      <c r="C16" s="6"/>
      <c r="D16" s="6"/>
      <c r="E16" s="6"/>
      <c r="F16" s="6"/>
      <c r="G16" s="6"/>
      <c r="H16" s="6"/>
      <c r="I16" s="6"/>
    </row>
    <row r="17" spans="1:9" x14ac:dyDescent="0.35">
      <c r="B17" s="69" t="s">
        <v>110</v>
      </c>
      <c r="C17" s="38" t="s">
        <v>125</v>
      </c>
      <c r="D17" s="27">
        <v>28.92</v>
      </c>
      <c r="E17" s="27">
        <v>29.1</v>
      </c>
      <c r="F17" s="71">
        <v>0.18</v>
      </c>
      <c r="G17" s="72">
        <v>6.1999999999999998E-3</v>
      </c>
      <c r="H17" s="38" t="s">
        <v>126</v>
      </c>
      <c r="I17" s="73" t="s">
        <v>127</v>
      </c>
    </row>
    <row r="18" spans="1:9" x14ac:dyDescent="0.35">
      <c r="B18" s="76"/>
      <c r="C18" s="38" t="s">
        <v>128</v>
      </c>
      <c r="D18" s="27">
        <v>31.08</v>
      </c>
      <c r="E18" s="27">
        <v>31.9</v>
      </c>
      <c r="F18" s="71">
        <v>0.82</v>
      </c>
      <c r="G18" s="72">
        <v>2.64E-2</v>
      </c>
      <c r="H18" s="75">
        <v>9.6199999999999994E-2</v>
      </c>
      <c r="I18" s="73" t="s">
        <v>127</v>
      </c>
    </row>
    <row r="19" spans="1:9" x14ac:dyDescent="0.35">
      <c r="B19" s="76"/>
      <c r="C19" s="38" t="s">
        <v>129</v>
      </c>
      <c r="D19" s="27">
        <v>32.04</v>
      </c>
      <c r="E19" s="27">
        <v>32.700000000000003</v>
      </c>
      <c r="F19" s="71">
        <v>0.66</v>
      </c>
      <c r="G19" s="72">
        <v>2.06E-2</v>
      </c>
      <c r="H19" s="75">
        <v>2.5100000000000001E-2</v>
      </c>
      <c r="I19" s="73" t="s">
        <v>127</v>
      </c>
    </row>
    <row r="20" spans="1:9" x14ac:dyDescent="0.35">
      <c r="B20" s="76"/>
      <c r="C20" s="38" t="s">
        <v>130</v>
      </c>
      <c r="D20" s="27">
        <v>34.200000000000003</v>
      </c>
      <c r="E20" s="27">
        <v>34.1</v>
      </c>
      <c r="F20" s="71">
        <v>-0.1</v>
      </c>
      <c r="G20" s="72">
        <v>-2.8999999999999998E-3</v>
      </c>
      <c r="H20" s="75">
        <v>4.2799999999999998E-2</v>
      </c>
      <c r="I20" s="73" t="s">
        <v>127</v>
      </c>
    </row>
    <row r="21" spans="1:9" x14ac:dyDescent="0.35">
      <c r="A21" s="6"/>
      <c r="B21" s="6"/>
      <c r="C21" s="6"/>
      <c r="D21" s="6"/>
      <c r="E21" s="6"/>
      <c r="F21" s="6"/>
      <c r="G21" s="6"/>
      <c r="H21" s="6"/>
      <c r="I21" s="6"/>
    </row>
    <row r="22" spans="1:9" x14ac:dyDescent="0.35">
      <c r="B22" s="70" t="s">
        <v>113</v>
      </c>
      <c r="C22" s="40" t="s">
        <v>125</v>
      </c>
      <c r="D22" s="30">
        <v>14.11</v>
      </c>
      <c r="E22" s="30">
        <v>13.2</v>
      </c>
      <c r="F22" s="77">
        <v>-0.91</v>
      </c>
      <c r="G22" s="78">
        <v>-6.4500000000000002E-2</v>
      </c>
      <c r="H22" s="40" t="s">
        <v>126</v>
      </c>
      <c r="I22" s="79" t="s">
        <v>131</v>
      </c>
    </row>
    <row r="23" spans="1:9" x14ac:dyDescent="0.35">
      <c r="B23" s="80"/>
      <c r="C23" s="40" t="s">
        <v>128</v>
      </c>
      <c r="D23" s="30">
        <v>15.35</v>
      </c>
      <c r="E23" s="30">
        <v>14.7</v>
      </c>
      <c r="F23" s="81">
        <v>-0.65</v>
      </c>
      <c r="G23" s="82">
        <v>-4.2299999999999997E-2</v>
      </c>
      <c r="H23" s="75">
        <v>0.11360000000000001</v>
      </c>
      <c r="I23" s="83" t="s">
        <v>132</v>
      </c>
    </row>
    <row r="24" spans="1:9" x14ac:dyDescent="0.35">
      <c r="B24" s="80"/>
      <c r="C24" s="40" t="s">
        <v>129</v>
      </c>
      <c r="D24" s="30">
        <v>16.07</v>
      </c>
      <c r="E24" s="30">
        <v>13.4</v>
      </c>
      <c r="F24" s="77">
        <v>-2.67</v>
      </c>
      <c r="G24" s="78">
        <v>-0.1661</v>
      </c>
      <c r="H24" s="84">
        <v>-8.8400000000000006E-2</v>
      </c>
      <c r="I24" s="79" t="s">
        <v>131</v>
      </c>
    </row>
    <row r="25" spans="1:9" x14ac:dyDescent="0.35">
      <c r="B25" s="80"/>
      <c r="C25" s="40" t="s">
        <v>130</v>
      </c>
      <c r="D25" s="30">
        <v>16.38</v>
      </c>
      <c r="E25" s="30">
        <v>13.5</v>
      </c>
      <c r="F25" s="77">
        <v>-2.88</v>
      </c>
      <c r="G25" s="78">
        <v>-0.17580000000000001</v>
      </c>
      <c r="H25" s="75">
        <v>7.4999999999999997E-3</v>
      </c>
      <c r="I25" s="79" t="s">
        <v>131</v>
      </c>
    </row>
    <row r="26" spans="1:9" x14ac:dyDescent="0.35">
      <c r="A26" s="6"/>
      <c r="B26" s="6"/>
      <c r="C26" s="6"/>
      <c r="D26" s="6"/>
      <c r="E26" s="6"/>
      <c r="F26" s="6"/>
      <c r="G26" s="6"/>
      <c r="H26" s="6"/>
      <c r="I26" s="6"/>
    </row>
    <row r="27" spans="1:9" x14ac:dyDescent="0.35">
      <c r="B27" s="85" t="s">
        <v>133</v>
      </c>
      <c r="C27" s="86" t="s">
        <v>50</v>
      </c>
      <c r="D27" s="87">
        <v>273.3</v>
      </c>
      <c r="E27" s="87">
        <v>267.3</v>
      </c>
      <c r="F27" s="77">
        <v>-5.96</v>
      </c>
      <c r="G27" s="78">
        <v>-2.18E-2</v>
      </c>
      <c r="H27" s="86" t="s">
        <v>126</v>
      </c>
      <c r="I27" s="86" t="s">
        <v>126</v>
      </c>
    </row>
    <row r="29" spans="1:9" x14ac:dyDescent="0.35">
      <c r="A29" s="101" t="s">
        <v>134</v>
      </c>
      <c r="B29" s="95"/>
      <c r="C29" s="95"/>
      <c r="D29" s="95"/>
      <c r="E29" s="95"/>
      <c r="F29" s="95"/>
      <c r="G29" s="95"/>
      <c r="H29" s="95"/>
      <c r="I29" s="95"/>
    </row>
    <row r="30" spans="1:9" ht="26" x14ac:dyDescent="0.35">
      <c r="A30" s="1"/>
      <c r="B30" s="1" t="s">
        <v>117</v>
      </c>
      <c r="C30" s="1" t="s">
        <v>135</v>
      </c>
      <c r="D30" s="1" t="s">
        <v>136</v>
      </c>
      <c r="E30" s="1" t="s">
        <v>137</v>
      </c>
      <c r="F30" s="1" t="s">
        <v>138</v>
      </c>
      <c r="G30" s="1" t="s">
        <v>121</v>
      </c>
      <c r="H30" s="1" t="s">
        <v>122</v>
      </c>
      <c r="I30" s="1" t="s">
        <v>124</v>
      </c>
    </row>
    <row r="31" spans="1:9" x14ac:dyDescent="0.35">
      <c r="B31" s="69" t="s">
        <v>110</v>
      </c>
      <c r="C31" s="88">
        <v>0.2</v>
      </c>
      <c r="D31" s="27">
        <v>105.2</v>
      </c>
      <c r="E31" s="27">
        <v>126.2</v>
      </c>
      <c r="F31" s="27">
        <v>127.8</v>
      </c>
      <c r="G31" s="71">
        <v>1.6</v>
      </c>
      <c r="H31" s="72">
        <v>1.24E-2</v>
      </c>
      <c r="I31" s="73" t="s">
        <v>127</v>
      </c>
    </row>
    <row r="32" spans="1:9" x14ac:dyDescent="0.35">
      <c r="B32" s="70" t="s">
        <v>113</v>
      </c>
      <c r="C32" s="89">
        <v>0.03</v>
      </c>
      <c r="D32" s="30">
        <v>60.1</v>
      </c>
      <c r="E32" s="30">
        <v>61.9</v>
      </c>
      <c r="F32" s="30">
        <v>54.8</v>
      </c>
      <c r="G32" s="77">
        <v>-7.1</v>
      </c>
      <c r="H32" s="78">
        <v>-0.1148</v>
      </c>
      <c r="I32" s="79" t="s">
        <v>131</v>
      </c>
    </row>
    <row r="33" spans="2:9" ht="26" x14ac:dyDescent="0.35">
      <c r="B33" s="68" t="s">
        <v>107</v>
      </c>
      <c r="C33" s="90">
        <v>0.08</v>
      </c>
      <c r="D33" s="24">
        <v>78.8</v>
      </c>
      <c r="E33" s="24">
        <v>85.1</v>
      </c>
      <c r="F33" s="24">
        <v>84.7</v>
      </c>
      <c r="G33" s="71">
        <v>-0.4</v>
      </c>
      <c r="H33" s="72">
        <v>-4.7999999999999996E-3</v>
      </c>
      <c r="I33" s="73" t="s">
        <v>127</v>
      </c>
    </row>
    <row r="55" spans="1:9" x14ac:dyDescent="0.35">
      <c r="A55" s="104" t="s">
        <v>139</v>
      </c>
      <c r="B55" s="95"/>
      <c r="C55" s="95"/>
      <c r="D55" s="95"/>
      <c r="E55" s="95"/>
      <c r="F55" s="95"/>
      <c r="G55" s="95"/>
      <c r="H55" s="95"/>
      <c r="I55" s="95"/>
    </row>
    <row r="80" spans="2:4" x14ac:dyDescent="0.35">
      <c r="B80" t="s">
        <v>117</v>
      </c>
      <c r="C80" t="s">
        <v>140</v>
      </c>
      <c r="D80" t="s">
        <v>141</v>
      </c>
    </row>
    <row r="81" spans="2:4" x14ac:dyDescent="0.35">
      <c r="B81" t="s">
        <v>142</v>
      </c>
      <c r="C81">
        <v>85.1</v>
      </c>
      <c r="D81">
        <v>84.7</v>
      </c>
    </row>
    <row r="82" spans="2:4" x14ac:dyDescent="0.35">
      <c r="B82" t="s">
        <v>110</v>
      </c>
      <c r="C82">
        <v>126.2</v>
      </c>
      <c r="D82">
        <v>127.8</v>
      </c>
    </row>
    <row r="83" spans="2:4" x14ac:dyDescent="0.35">
      <c r="B83" t="s">
        <v>143</v>
      </c>
      <c r="C83">
        <v>61.9</v>
      </c>
      <c r="D83">
        <v>54.8</v>
      </c>
    </row>
  </sheetData>
  <mergeCells count="9">
    <mergeCell ref="A55:I55"/>
    <mergeCell ref="A4:I4"/>
    <mergeCell ref="D7:I7"/>
    <mergeCell ref="A29:I29"/>
    <mergeCell ref="A2:I2"/>
    <mergeCell ref="A10:I10"/>
    <mergeCell ref="D5:I5"/>
    <mergeCell ref="A1:I1"/>
    <mergeCell ref="D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 Statements</vt:lpstr>
      <vt:lpstr>Variance Analysis</vt:lpstr>
      <vt:lpstr>Peer Benchmarking</vt:lpstr>
      <vt:lpstr>Scenario Analysis</vt:lpstr>
      <vt:lpstr>Commentary</vt:lpstr>
      <vt:lpstr>Budget vs Actuals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Gupta, Soumil</cp:lastModifiedBy>
  <dcterms:created xsi:type="dcterms:W3CDTF">2026-05-31T16:37:03Z</dcterms:created>
  <dcterms:modified xsi:type="dcterms:W3CDTF">2026-05-31T16:49:54Z</dcterms:modified>
</cp:coreProperties>
</file>